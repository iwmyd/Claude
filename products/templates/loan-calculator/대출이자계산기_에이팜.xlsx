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사용법" state="visible" r:id="rId4"/>
    <sheet sheetId="2" name="계산기" state="visible" r:id="rId5"/>
    <sheet sheetId="3" name="상환스케줄" state="visible" r:id="rId6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C5" authorId="0">
      <text>
        <r>
          <t>예시 값. 본인 대출 원금으로 바꾸세요.</t>
        </r>
      </text>
    </comment>
    <comment ref="C6" authorId="0">
      <text>
        <r>
          <t>예시 값. 연 4.5%는 4.5% 로 입력.</t>
        </r>
      </text>
    </comment>
    <comment ref="C7" authorId="0">
      <text>
        <r>
          <t>1~480개월. 30년 = 360.</t>
        </r>
      </text>
    </comment>
    <comment ref="C8" authorId="0">
      <text>
        <r>
          <t>목록에서 선택: 원리금균등 / 원금균등 / 만기일시</t>
        </r>
      </text>
    </comment>
    <comment ref="C9" authorId="0">
      <text>
        <r>
          <t>아래 비교표의 한 칸 간격. 0.25%p = 0.25%.</t>
        </r>
      </text>
    </comment>
  </commentList>
</comments>
</file>

<file path=xl/sharedStrings.xml><?xml version="1.0" encoding="utf-8"?>
<sst xmlns="http://schemas.openxmlformats.org/spreadsheetml/2006/main" count="53" uniqueCount="50">
  <si>
    <t>대출 이자 계산기 — 사용법</t>
  </si>
  <si>
    <t/>
  </si>
  <si>
    <t>1. [계산기] 시트의 노란 칸(파란 글씨) 5개만 바꾸세요. 나머지는 자동 계산됩니다.</t>
  </si>
  <si>
    <t xml:space="preserve">   · 대출 원금(원) · 연 이자율 · 대출 기간(개월, 최대 480) · 상환 방식(목록에서 선택) · 금리 변동 폭</t>
  </si>
  <si>
    <t>2. [계산기] 아래 "금리가 바뀌면?" 표에서 금리가 오르내릴 때 월 상환액·총이자 차이를 비교할 수 있습니다.</t>
  </si>
  <si>
    <t>3. [상환스케줄] 시트에서 매달 이자·원금·남은 잔액을 확인할 수 있습니다.</t>
  </si>
  <si>
    <t>상환 방식 설명</t>
  </si>
  <si>
    <t>· 원리금균등: 매달 같은 금액(이자+원금)을 냅니다. 초반엔 이자 비중이 큽니다.</t>
  </si>
  <si>
    <t>· 원금균등: 매달 같은 원금을 갚아 상환액이 점점 줄어듭니다. 세 방식 중 총이자가 가장 적습니다.</t>
  </si>
  <si>
    <t>· 만기일시: 매달 이자만 내고 마지막 달에 원금을 한 번에 갚습니다. 세 방식 중 총이자가 가장 많습니다.</t>
  </si>
  <si>
    <t>꼭 읽어 주세요</t>
  </si>
  <si>
    <t>· 월 단위 단순 계산(연 이자율 ÷ 12)입니다. 실제 은행 이자는 일할 계산·우대금리·수수료 등에 따라 다를 수 있습니다.</t>
  </si>
  <si>
    <t>· 변동금리 대출은 계약서의 금리 변동 주기·기준금리(코픽스 등)에 따라 실제 적용 시점이 다릅니다.</t>
  </si>
  <si>
    <t>· 참고용 계산 도구이며 금융상품 가입·투자 권유가 아닙니다. 최종 금액은 대출 기관에 확인하세요.</t>
  </si>
  <si>
    <t>제작: 에이팜의 이야기 보따리 (blog.naver.com/iwmyd99) · Excel·구글 스프레드시트에서 동작합니다.</t>
  </si>
  <si>
    <t>대출 이자 계산기</t>
  </si>
  <si>
    <t>노란 칸만 바꾸세요 (예시 값이 들어 있습니다)</t>
  </si>
  <si>
    <t>대출 원금</t>
  </si>
  <si>
    <t>예시 값. 본인 대출 원금으로 바꾸세요.</t>
  </si>
  <si>
    <t>연 이자율</t>
  </si>
  <si>
    <t>예시 값. 연 4.5%는 4.5% 로 입력.</t>
  </si>
  <si>
    <t>대출 기간(개월)</t>
  </si>
  <si>
    <t>1~480개월. 30년 = 360.</t>
  </si>
  <si>
    <t>상환 방식</t>
  </si>
  <si>
    <t>원리금균등</t>
  </si>
  <si>
    <t>목록에서 선택: 원리금균등 / 원금균등 / 만기일시</t>
  </si>
  <si>
    <t>금리 변동 폭</t>
  </si>
  <si>
    <t>아래 비교표의 한 칸 간격. 0.25%p = 0.25%.</t>
  </si>
  <si>
    <t>계산 결과</t>
  </si>
  <si>
    <t>월 이자율</t>
  </si>
  <si>
    <t>첫 달 상환액</t>
  </si>
  <si>
    <t>마지막 달 상환액</t>
  </si>
  <si>
    <t>총 이자</t>
  </si>
  <si>
    <t>총 상환액</t>
  </si>
  <si>
    <t>금리가 바뀌면? (상환 방식별 비교)</t>
  </si>
  <si>
    <t>금리 변동</t>
  </si>
  <si>
    <t>적용 연 이자율</t>
  </si>
  <si>
    <t>원리금균등 월 상환액</t>
  </si>
  <si>
    <t>원금균등 첫 달 상환액</t>
  </si>
  <si>
    <t>만기일시 월 이자</t>
  </si>
  <si>
    <t>총이자 차이(선택 방식)</t>
  </si>
  <si>
    <t>※ 비교표는 대출 전 기간에 같은 금리가 적용된다고 가정한 단순 계산입니다.</t>
  </si>
  <si>
    <t>※ 검산: "현재" 행의 총이자 차이는 항상 "-"(0원)입니다.</t>
  </si>
  <si>
    <t>월별 상환 스케줄</t>
  </si>
  <si>
    <t>회차</t>
  </si>
  <si>
    <t>기초 잔액</t>
  </si>
  <si>
    <t>이자</t>
  </si>
  <si>
    <t>원금</t>
  </si>
  <si>
    <t>상환액</t>
  </si>
  <si>
    <t>기말 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</si>
</sst>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&quot;원&quot;;-#,##0&quot;원&quot;;&quot;-&quot;"/>
    <numFmt numFmtId="165" formatCode="0&quot;개월&quot;"/>
    <numFmt numFmtId="166" formatCode="0.0000%"/>
    <numFmt numFmtId="167" formatCode="+0.00%;-0.00%;&quot;현재&quot;"/>
    <numFmt numFmtId="168" formatCode="+#,##0&quot;원&quot;;-#,##0&quot;원&quot;;&quot;-&quot;"/>
    <numFmt numFmtId="169" formatCode="#,##0;-#,##0;0"/>
  </numFmts>
  <fonts count="12" x14ac:knownFonts="1">
    <font>
      <color theme="1"/>
      <family val="2"/>
      <scheme val="minor"/>
      <sz val="11"/>
      <name val="Calibri"/>
    </font>
    <font>
      <b/>
      <color rgb="FF1D2A44"/>
      <sz val="16"/>
      <name val="맑은 고딕"/>
    </font>
    <font>
      <color rgb="FF000000"/>
      <sz val="11"/>
      <name val="맑은 고딕"/>
    </font>
    <font>
      <b/>
      <color rgb="FF1D2A44"/>
      <sz val="12"/>
      <name val="맑은 고딕"/>
    </font>
    <font>
      <b/>
      <color rgb="FFC9562B"/>
      <sz val="12"/>
      <name val="맑은 고딕"/>
    </font>
    <font>
      <color rgb="FF4A5568"/>
      <sz val="10"/>
      <name val="맑은 고딕"/>
    </font>
    <font>
      <b/>
      <color rgb="FF000000"/>
      <sz val="11"/>
      <name val="맑은 고딕"/>
    </font>
    <font>
      <b/>
      <color rgb="FF0000FF"/>
      <sz val="11"/>
      <name val="맑은 고딕"/>
    </font>
    <font>
      <color rgb="FF4A5568"/>
      <sz val="9"/>
      <name val="맑은 고딕"/>
    </font>
    <font>
      <b/>
      <color rgb="FFFFFFFF"/>
      <sz val="11"/>
      <name val="맑은 고딕"/>
    </font>
    <font>
      <b/>
      <color rgb="FF1D2A44"/>
      <sz val="14"/>
      <name val="맑은 고딕"/>
    </font>
    <font>
      <color rgb="FF000000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D2A44"/>
      </patternFill>
    </fill>
    <fill>
      <patternFill patternType="solid">
        <fgColor rgb="FFF5F0E6"/>
      </patternFill>
    </fill>
  </fills>
  <borders count="2">
    <border>
      <left/>
      <right/>
      <top/>
      <bottom/>
      <diagonal/>
    </border>
    <border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164" fontId="7" fillId="2" borderId="1" xfId="0" applyNumberFormat="1" applyFont="1" applyFill="1" applyBorder="1"/>
    <xf numFmtId="0" fontId="8" fillId="0" borderId="0" xfId="0" applyFont="1"/>
    <xf numFmtId="10" fontId="7" fillId="2" borderId="1" xfId="0" applyNumberFormat="1" applyFont="1" applyFill="1" applyBorder="1"/>
    <xf numFmtId="165" fontId="7" fillId="2" borderId="1" xfId="0" applyNumberFormat="1" applyFont="1" applyFill="1" applyBorder="1"/>
    <xf numFmtId="49" fontId="7" fillId="2" borderId="1" xfId="0" applyNumberFormat="1" applyFont="1" applyFill="1" applyBorder="1"/>
    <xf numFmtId="0" fontId="3" fillId="0" borderId="0" xfId="0" applyFont="1"/>
    <xf numFmtId="166" fontId="6" fillId="0" borderId="1" xfId="0" applyNumberFormat="1" applyFont="1" applyBorder="1"/>
    <xf numFmtId="164" fontId="6" fillId="0" borderId="1" xfId="0" applyNumberFormat="1" applyFont="1" applyBorder="1"/>
    <xf numFmtId="0" fontId="9" fillId="3" borderId="1" xfId="0" applyFont="1" applyFill="1" applyBorder="1" applyAlignment="1">
      <alignment horizontal="center" wrapText="1"/>
    </xf>
    <xf numFmtId="167" fontId="2" fillId="0" borderId="1" xfId="0" applyNumberFormat="1" applyFont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168" fontId="2" fillId="0" borderId="1" xfId="0" applyNumberFormat="1" applyFont="1" applyBorder="1"/>
    <xf numFmtId="167" fontId="6" fillId="4" borderId="1" xfId="0" applyNumberFormat="1" applyFont="1" applyFill="1" applyBorder="1"/>
    <xf numFmtId="10" fontId="6" fillId="4" borderId="1" xfId="0" applyNumberFormat="1" applyFont="1" applyFill="1" applyBorder="1"/>
    <xf numFmtId="164" fontId="6" fillId="4" borderId="1" xfId="0" applyNumberFormat="1" applyFont="1" applyFill="1" applyBorder="1"/>
    <xf numFmtId="168" fontId="6" fillId="4" borderId="1" xfId="0" applyNumberFormat="1" applyFont="1" applyFill="1" applyBorder="1"/>
    <xf numFmtId="0" fontId="10" fillId="0" borderId="0" xfId="0" applyFont="1"/>
    <xf numFmtId="0" fontId="9" fillId="3" borderId="1" xfId="0" applyFont="1" applyFill="1" applyBorder="1" applyAlignment="1">
      <alignment horizontal="center"/>
    </xf>
    <xf numFmtId="0" fontId="11" fillId="0" borderId="0" xfId="0" applyFont="1"/>
    <xf numFmtId="16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0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3" t="s">
        <v>3</v>
      </c>
    </row>
    <row r="6" spans="2:2" x14ac:dyDescent="0.25">
      <c r="B6" s="3" t="s">
        <v>4</v>
      </c>
    </row>
    <row r="7" spans="2:2" x14ac:dyDescent="0.25">
      <c r="B7" s="3" t="s">
        <v>5</v>
      </c>
    </row>
    <row r="8" spans="2:2" x14ac:dyDescent="0.25">
      <c r="B8" s="2" t="s">
        <v>1</v>
      </c>
    </row>
    <row r="9" spans="2:2" x14ac:dyDescent="0.25">
      <c r="B9" s="4" t="s">
        <v>6</v>
      </c>
    </row>
    <row r="10" spans="2:2" x14ac:dyDescent="0.25">
      <c r="B10" s="3" t="s">
        <v>7</v>
      </c>
    </row>
    <row r="11" spans="2:2" x14ac:dyDescent="0.25">
      <c r="B11" s="3" t="s">
        <v>8</v>
      </c>
    </row>
    <row r="12" spans="2:2" x14ac:dyDescent="0.25">
      <c r="B12" s="3" t="s">
        <v>9</v>
      </c>
    </row>
    <row r="13" spans="2:2" x14ac:dyDescent="0.25">
      <c r="B13" s="2" t="s">
        <v>1</v>
      </c>
    </row>
    <row r="14" spans="2:2" x14ac:dyDescent="0.25">
      <c r="B14" s="5" t="s">
        <v>10</v>
      </c>
    </row>
    <row r="15" spans="2:2" x14ac:dyDescent="0.25">
      <c r="B15" s="3" t="s">
        <v>11</v>
      </c>
    </row>
    <row r="16" spans="2:2" x14ac:dyDescent="0.25">
      <c r="B16" s="3" t="s">
        <v>12</v>
      </c>
    </row>
    <row r="17" spans="2:2" x14ac:dyDescent="0.25">
      <c r="B17" s="3" t="s">
        <v>13</v>
      </c>
    </row>
    <row r="18" spans="2:2" x14ac:dyDescent="0.25">
      <c r="B18" s="2" t="s">
        <v>1</v>
      </c>
    </row>
    <row r="19" spans="2:2" x14ac:dyDescent="0.25">
      <c r="B19" s="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0" customWidth="1"/>
    <col min="4" max="5" width="22" customWidth="1"/>
    <col min="6" max="6" width="20" customWidth="1"/>
    <col min="7" max="7" width="22" customWidth="1"/>
  </cols>
  <sheetData>
    <row r="2" spans="2:2" x14ac:dyDescent="0.25">
      <c r="B2" s="7" t="s">
        <v>15</v>
      </c>
    </row>
    <row r="3" spans="2:2" x14ac:dyDescent="0.25">
      <c r="B3" s="8" t="s">
        <v>16</v>
      </c>
    </row>
    <row r="5" spans="2:4" x14ac:dyDescent="0.25">
      <c r="B5" s="9" t="s">
        <v>17</v>
      </c>
      <c r="C5" s="10">
        <v>300000000</v>
      </c>
      <c r="D5" s="11" t="s">
        <v>18</v>
      </c>
    </row>
    <row r="6" spans="2:4" x14ac:dyDescent="0.25">
      <c r="B6" s="9" t="s">
        <v>19</v>
      </c>
      <c r="C6" s="12">
        <v>0.045</v>
      </c>
      <c r="D6" s="11" t="s">
        <v>20</v>
      </c>
    </row>
    <row r="7" spans="2:4" x14ac:dyDescent="0.25">
      <c r="B7" s="9" t="s">
        <v>21</v>
      </c>
      <c r="C7" s="13">
        <v>360</v>
      </c>
      <c r="D7" s="11" t="s">
        <v>22</v>
      </c>
    </row>
    <row r="8" spans="2:4" x14ac:dyDescent="0.25">
      <c r="B8" s="9" t="s">
        <v>23</v>
      </c>
      <c r="C8" s="14" t="s">
        <v>24</v>
      </c>
      <c r="D8" s="11" t="s">
        <v>25</v>
      </c>
    </row>
    <row r="9" spans="2:4" x14ac:dyDescent="0.25">
      <c r="B9" s="9" t="s">
        <v>26</v>
      </c>
      <c r="C9" s="12">
        <v>0.0025</v>
      </c>
      <c r="D9" s="11" t="s">
        <v>27</v>
      </c>
    </row>
    <row r="11" spans="2:2" x14ac:dyDescent="0.25">
      <c r="B11" s="15" t="s">
        <v>28</v>
      </c>
    </row>
    <row r="12" spans="2:3" x14ac:dyDescent="0.25">
      <c r="B12" s="9" t="s">
        <v>29</v>
      </c>
      <c r="C12" s="16">
        <f>C6/12</f>
      </c>
    </row>
    <row r="13" spans="2:3" x14ac:dyDescent="0.25">
      <c r="B13" s="9" t="s">
        <v>30</v>
      </c>
      <c r="C13" s="17">
        <f>'상환스케줄'!F6</f>
      </c>
    </row>
    <row r="14" spans="2:3" x14ac:dyDescent="0.25">
      <c r="B14" s="9" t="s">
        <v>31</v>
      </c>
      <c r="C14" s="17">
        <f>INDEX('상환스케줄'!F6:F485,C7)</f>
      </c>
    </row>
    <row r="15" spans="2:3" x14ac:dyDescent="0.25">
      <c r="B15" s="9" t="s">
        <v>32</v>
      </c>
      <c r="C15" s="17">
        <f>SUM('상환스케줄'!D6:D485)</f>
      </c>
    </row>
    <row r="16" spans="2:3" x14ac:dyDescent="0.25">
      <c r="B16" s="9" t="s">
        <v>33</v>
      </c>
      <c r="C16" s="17">
        <f>C5+C15</f>
      </c>
    </row>
    <row r="18" spans="2:2" x14ac:dyDescent="0.25">
      <c r="B18" s="15" t="s">
        <v>34</v>
      </c>
    </row>
    <row r="19" spans="2:7" x14ac:dyDescent="0.25">
      <c r="B19" s="18" t="s">
        <v>35</v>
      </c>
      <c r="C19" s="18" t="s">
        <v>36</v>
      </c>
      <c r="D19" s="18" t="s">
        <v>37</v>
      </c>
      <c r="E19" s="18" t="s">
        <v>38</v>
      </c>
      <c r="F19" s="18" t="s">
        <v>39</v>
      </c>
      <c r="G19" s="18" t="s">
        <v>40</v>
      </c>
    </row>
    <row r="20" spans="2:7" x14ac:dyDescent="0.25">
      <c r="B20" s="19">
        <f>-2*$C$9</f>
      </c>
      <c r="C20" s="20">
        <f>MAX(0,$C$6+B20)</f>
      </c>
      <c r="D20" s="21">
        <f>IF(C20=0,$C$5/$C$7,PMT(C20/12,$C$7,-$C$5))</f>
      </c>
      <c r="E20" s="21">
        <f>$C$5/$C$7+$C$5*C20/12</f>
      </c>
      <c r="F20" s="21">
        <f>$C$5*C20/12</f>
      </c>
      <c r="G20" s="22">
        <f>IF($C$8="원리금균등",IF(C20=0,0,PMT(C20/12,$C$7,-$C$5)*$C$7-$C$5),IF($C$8="원금균등",$C$5*C20/12*($C$7+1)/2,$C$5*C20/12*$C$7))-IF($C$8="원리금균등",IF($C$22=0,0,PMT($C$22/12,$C$7,-$C$5)*$C$7-$C$5),IF($C$8="원금균등",$C$5*$C$22/12*($C$7+1)/2,$C$5*$C$22/12*$C$7))</f>
      </c>
    </row>
    <row r="21" spans="2:7" x14ac:dyDescent="0.25">
      <c r="B21" s="19">
        <f>-1*$C$9</f>
      </c>
      <c r="C21" s="20">
        <f>MAX(0,$C$6+B21)</f>
      </c>
      <c r="D21" s="21">
        <f>IF(C21=0,$C$5/$C$7,PMT(C21/12,$C$7,-$C$5))</f>
      </c>
      <c r="E21" s="21">
        <f>$C$5/$C$7+$C$5*C21/12</f>
      </c>
      <c r="F21" s="21">
        <f>$C$5*C21/12</f>
      </c>
      <c r="G21" s="22">
        <f>IF($C$8="원리금균등",IF(C21=0,0,PMT(C21/12,$C$7,-$C$5)*$C$7-$C$5),IF($C$8="원금균등",$C$5*C21/12*($C$7+1)/2,$C$5*C21/12*$C$7))-IF($C$8="원리금균등",IF($C$22=0,0,PMT($C$22/12,$C$7,-$C$5)*$C$7-$C$5),IF($C$8="원금균등",$C$5*$C$22/12*($C$7+1)/2,$C$5*$C$22/12*$C$7))</f>
      </c>
    </row>
    <row r="22" spans="2:7" x14ac:dyDescent="0.25">
      <c r="B22" s="23">
        <f>0*$C$9</f>
      </c>
      <c r="C22" s="24">
        <f>MAX(0,$C$6+B22)</f>
      </c>
      <c r="D22" s="25">
        <f>IF(C22=0,$C$5/$C$7,PMT(C22/12,$C$7,-$C$5))</f>
      </c>
      <c r="E22" s="25">
        <f>$C$5/$C$7+$C$5*C22/12</f>
      </c>
      <c r="F22" s="25">
        <f>$C$5*C22/12</f>
      </c>
      <c r="G22" s="26">
        <f>IF($C$8="원리금균등",IF(C22=0,0,PMT(C22/12,$C$7,-$C$5)*$C$7-$C$5),IF($C$8="원금균등",$C$5*C22/12*($C$7+1)/2,$C$5*C22/12*$C$7))-IF($C$8="원리금균등",IF($C$22=0,0,PMT($C$22/12,$C$7,-$C$5)*$C$7-$C$5),IF($C$8="원금균등",$C$5*$C$22/12*($C$7+1)/2,$C$5*$C$22/12*$C$7))</f>
      </c>
    </row>
    <row r="23" spans="2:7" x14ac:dyDescent="0.25">
      <c r="B23" s="19">
        <f>1*$C$9</f>
      </c>
      <c r="C23" s="20">
        <f>MAX(0,$C$6+B23)</f>
      </c>
      <c r="D23" s="21">
        <f>IF(C23=0,$C$5/$C$7,PMT(C23/12,$C$7,-$C$5))</f>
      </c>
      <c r="E23" s="21">
        <f>$C$5/$C$7+$C$5*C23/12</f>
      </c>
      <c r="F23" s="21">
        <f>$C$5*C23/12</f>
      </c>
      <c r="G23" s="22">
        <f>IF($C$8="원리금균등",IF(C23=0,0,PMT(C23/12,$C$7,-$C$5)*$C$7-$C$5),IF($C$8="원금균등",$C$5*C23/12*($C$7+1)/2,$C$5*C23/12*$C$7))-IF($C$8="원리금균등",IF($C$22=0,0,PMT($C$22/12,$C$7,-$C$5)*$C$7-$C$5),IF($C$8="원금균등",$C$5*$C$22/12*($C$7+1)/2,$C$5*$C$22/12*$C$7))</f>
      </c>
    </row>
    <row r="24" spans="2:7" x14ac:dyDescent="0.25">
      <c r="B24" s="19">
        <f>2*$C$9</f>
      </c>
      <c r="C24" s="20">
        <f>MAX(0,$C$6+B24)</f>
      </c>
      <c r="D24" s="21">
        <f>IF(C24=0,$C$5/$C$7,PMT(C24/12,$C$7,-$C$5))</f>
      </c>
      <c r="E24" s="21">
        <f>$C$5/$C$7+$C$5*C24/12</f>
      </c>
      <c r="F24" s="21">
        <f>$C$5*C24/12</f>
      </c>
      <c r="G24" s="22">
        <f>IF($C$8="원리금균등",IF(C24=0,0,PMT(C24/12,$C$7,-$C$5)*$C$7-$C$5),IF($C$8="원금균등",$C$5*C24/12*($C$7+1)/2,$C$5*C24/12*$C$7))-IF($C$8="원리금균등",IF($C$22=0,0,PMT($C$22/12,$C$7,-$C$5)*$C$7-$C$5),IF($C$8="원금균등",$C$5*$C$22/12*($C$7+1)/2,$C$5*$C$22/12*$C$7))</f>
      </c>
    </row>
    <row r="26" spans="2:2" x14ac:dyDescent="0.25">
      <c r="B26" s="11" t="s">
        <v>41</v>
      </c>
    </row>
    <row r="27" spans="2:2" x14ac:dyDescent="0.25">
      <c r="B27" s="11" t="s">
        <v>42</v>
      </c>
    </row>
  </sheetData>
  <dataValidations count="2">
    <dataValidation type="whole" showErrorMessage="1" error="1~480 사이 정수" sqref="C7">
      <formula1>1</formula1>
      <formula2>480</formula2>
    </dataValidation>
    <dataValidation type="list" sqref="C8">
      <formula1>"원리금균등,원금균등,만기일시"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8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8" customWidth="1"/>
    <col min="3" max="3" width="20" customWidth="1"/>
    <col min="4" max="6" width="18" customWidth="1"/>
    <col min="7" max="7" width="20" customWidth="1"/>
  </cols>
  <sheetData>
    <row r="2" spans="2:2" x14ac:dyDescent="0.25">
      <c r="B2" s="27" t="s">
        <v>43</v>
      </c>
    </row>
    <row r="3" spans="2:2" x14ac:dyDescent="0.25">
      <c r="B3" s="8">
        <f>'계산기'!C8&amp;" · 원금 "&amp;TEXT('계산기'!C5,"#,##0")&amp;"원 · 연 "&amp;TEXT('계산기'!C6,"0.00%")&amp;" · "&amp;'계산기'!C7&amp;"개월"</f>
      </c>
    </row>
    <row r="5" spans="2:7" x14ac:dyDescent="0.25">
      <c r="B5" s="28" t="s">
        <v>44</v>
      </c>
      <c r="C5" s="28" t="s">
        <v>45</v>
      </c>
      <c r="D5" s="28" t="s">
        <v>46</v>
      </c>
      <c r="E5" s="28" t="s">
        <v>47</v>
      </c>
      <c r="F5" s="28" t="s">
        <v>48</v>
      </c>
      <c r="G5" s="28" t="s">
        <v>49</v>
      </c>
    </row>
    <row r="6" spans="2:7" x14ac:dyDescent="0.25">
      <c r="B6" s="29">
        <f>IF(1&lt;='계산기'!$C$7,1,"")</f>
      </c>
      <c r="C6" s="30">
        <f>IF(B6="","",'계산기'!$C$5)</f>
      </c>
      <c r="D6" s="30">
        <f>IF(B6="","",C6*'계산기'!$C$12)</f>
      </c>
      <c r="E6" s="30">
        <f>IF(B6="","",IF(B6='계산기'!$C$7,C6,IF('계산기'!$C$8="원리금균등",IF('계산기'!$C$12=0,'계산기'!$C$5/'계산기'!$C$7,PMT('계산기'!$C$12,'계산기'!$C$7,-'계산기'!$C$5))-D6,IF('계산기'!$C$8="원금균등",'계산기'!$C$5/'계산기'!$C$7,0))))</f>
      </c>
      <c r="F6" s="30">
        <f>IF(B6="","",D6+E6)</f>
      </c>
      <c r="G6" s="30">
        <f>IF(B6="","",C6-E6)</f>
      </c>
    </row>
    <row r="7" spans="2:7" x14ac:dyDescent="0.25">
      <c r="B7" s="29">
        <f>IF(2&lt;='계산기'!$C$7,2,"")</f>
      </c>
      <c r="C7" s="30">
        <f>IF(B7="","",G6)</f>
      </c>
      <c r="D7" s="30">
        <f>IF(B7="","",C7*'계산기'!$C$12)</f>
      </c>
      <c r="E7" s="30">
        <f>IF(B7="","",IF(B7='계산기'!$C$7,C7,IF('계산기'!$C$8="원리금균등",IF('계산기'!$C$12=0,'계산기'!$C$5/'계산기'!$C$7,PMT('계산기'!$C$12,'계산기'!$C$7,-'계산기'!$C$5))-D7,IF('계산기'!$C$8="원금균등",'계산기'!$C$5/'계산기'!$C$7,0))))</f>
      </c>
      <c r="F7" s="30">
        <f>IF(B7="","",D7+E7)</f>
      </c>
      <c r="G7" s="30">
        <f>IF(B7="","",C7-E7)</f>
      </c>
    </row>
    <row r="8" spans="2:7" x14ac:dyDescent="0.25">
      <c r="B8" s="29">
        <f>IF(3&lt;='계산기'!$C$7,3,"")</f>
      </c>
      <c r="C8" s="30">
        <f>IF(B8="","",G7)</f>
      </c>
      <c r="D8" s="30">
        <f>IF(B8="","",C8*'계산기'!$C$12)</f>
      </c>
      <c r="E8" s="30">
        <f>IF(B8="","",IF(B8='계산기'!$C$7,C8,IF('계산기'!$C$8="원리금균등",IF('계산기'!$C$12=0,'계산기'!$C$5/'계산기'!$C$7,PMT('계산기'!$C$12,'계산기'!$C$7,-'계산기'!$C$5))-D8,IF('계산기'!$C$8="원금균등",'계산기'!$C$5/'계산기'!$C$7,0))))</f>
      </c>
      <c r="F8" s="30">
        <f>IF(B8="","",D8+E8)</f>
      </c>
      <c r="G8" s="30">
        <f>IF(B8="","",C8-E8)</f>
      </c>
    </row>
    <row r="9" spans="2:7" x14ac:dyDescent="0.25">
      <c r="B9" s="29">
        <f>IF(4&lt;='계산기'!$C$7,4,"")</f>
      </c>
      <c r="C9" s="30">
        <f>IF(B9="","",G8)</f>
      </c>
      <c r="D9" s="30">
        <f>IF(B9="","",C9*'계산기'!$C$12)</f>
      </c>
      <c r="E9" s="30">
        <f>IF(B9="","",IF(B9='계산기'!$C$7,C9,IF('계산기'!$C$8="원리금균등",IF('계산기'!$C$12=0,'계산기'!$C$5/'계산기'!$C$7,PMT('계산기'!$C$12,'계산기'!$C$7,-'계산기'!$C$5))-D9,IF('계산기'!$C$8="원금균등",'계산기'!$C$5/'계산기'!$C$7,0))))</f>
      </c>
      <c r="F9" s="30">
        <f>IF(B9="","",D9+E9)</f>
      </c>
      <c r="G9" s="30">
        <f>IF(B9="","",C9-E9)</f>
      </c>
    </row>
    <row r="10" spans="2:7" x14ac:dyDescent="0.25">
      <c r="B10" s="29">
        <f>IF(5&lt;='계산기'!$C$7,5,"")</f>
      </c>
      <c r="C10" s="30">
        <f>IF(B10="","",G9)</f>
      </c>
      <c r="D10" s="30">
        <f>IF(B10="","",C10*'계산기'!$C$12)</f>
      </c>
      <c r="E10" s="30">
        <f>IF(B10="","",IF(B10='계산기'!$C$7,C10,IF('계산기'!$C$8="원리금균등",IF('계산기'!$C$12=0,'계산기'!$C$5/'계산기'!$C$7,PMT('계산기'!$C$12,'계산기'!$C$7,-'계산기'!$C$5))-D10,IF('계산기'!$C$8="원금균등",'계산기'!$C$5/'계산기'!$C$7,0))))</f>
      </c>
      <c r="F10" s="30">
        <f>IF(B10="","",D10+E10)</f>
      </c>
      <c r="G10" s="30">
        <f>IF(B10="","",C10-E10)</f>
      </c>
    </row>
    <row r="11" spans="2:7" x14ac:dyDescent="0.25">
      <c r="B11" s="29">
        <f>IF(6&lt;='계산기'!$C$7,6,"")</f>
      </c>
      <c r="C11" s="30">
        <f>IF(B11="","",G10)</f>
      </c>
      <c r="D11" s="30">
        <f>IF(B11="","",C11*'계산기'!$C$12)</f>
      </c>
      <c r="E11" s="30">
        <f>IF(B11="","",IF(B11='계산기'!$C$7,C11,IF('계산기'!$C$8="원리금균등",IF('계산기'!$C$12=0,'계산기'!$C$5/'계산기'!$C$7,PMT('계산기'!$C$12,'계산기'!$C$7,-'계산기'!$C$5))-D11,IF('계산기'!$C$8="원금균등",'계산기'!$C$5/'계산기'!$C$7,0))))</f>
      </c>
      <c r="F11" s="30">
        <f>IF(B11="","",D11+E11)</f>
      </c>
      <c r="G11" s="30">
        <f>IF(B11="","",C11-E11)</f>
      </c>
    </row>
    <row r="12" spans="2:7" x14ac:dyDescent="0.25">
      <c r="B12" s="29">
        <f>IF(7&lt;='계산기'!$C$7,7,"")</f>
      </c>
      <c r="C12" s="30">
        <f>IF(B12="","",G11)</f>
      </c>
      <c r="D12" s="30">
        <f>IF(B12="","",C12*'계산기'!$C$12)</f>
      </c>
      <c r="E12" s="30">
        <f>IF(B12="","",IF(B12='계산기'!$C$7,C12,IF('계산기'!$C$8="원리금균등",IF('계산기'!$C$12=0,'계산기'!$C$5/'계산기'!$C$7,PMT('계산기'!$C$12,'계산기'!$C$7,-'계산기'!$C$5))-D12,IF('계산기'!$C$8="원금균등",'계산기'!$C$5/'계산기'!$C$7,0))))</f>
      </c>
      <c r="F12" s="30">
        <f>IF(B12="","",D12+E12)</f>
      </c>
      <c r="G12" s="30">
        <f>IF(B12="","",C12-E12)</f>
      </c>
    </row>
    <row r="13" spans="2:7" x14ac:dyDescent="0.25">
      <c r="B13" s="29">
        <f>IF(8&lt;='계산기'!$C$7,8,"")</f>
      </c>
      <c r="C13" s="30">
        <f>IF(B13="","",G12)</f>
      </c>
      <c r="D13" s="30">
        <f>IF(B13="","",C13*'계산기'!$C$12)</f>
      </c>
      <c r="E13" s="30">
        <f>IF(B13="","",IF(B13='계산기'!$C$7,C13,IF('계산기'!$C$8="원리금균등",IF('계산기'!$C$12=0,'계산기'!$C$5/'계산기'!$C$7,PMT('계산기'!$C$12,'계산기'!$C$7,-'계산기'!$C$5))-D13,IF('계산기'!$C$8="원금균등",'계산기'!$C$5/'계산기'!$C$7,0))))</f>
      </c>
      <c r="F13" s="30">
        <f>IF(B13="","",D13+E13)</f>
      </c>
      <c r="G13" s="30">
        <f>IF(B13="","",C13-E13)</f>
      </c>
    </row>
    <row r="14" spans="2:7" x14ac:dyDescent="0.25">
      <c r="B14" s="29">
        <f>IF(9&lt;='계산기'!$C$7,9,"")</f>
      </c>
      <c r="C14" s="30">
        <f>IF(B14="","",G13)</f>
      </c>
      <c r="D14" s="30">
        <f>IF(B14="","",C14*'계산기'!$C$12)</f>
      </c>
      <c r="E14" s="30">
        <f>IF(B14="","",IF(B14='계산기'!$C$7,C14,IF('계산기'!$C$8="원리금균등",IF('계산기'!$C$12=0,'계산기'!$C$5/'계산기'!$C$7,PMT('계산기'!$C$12,'계산기'!$C$7,-'계산기'!$C$5))-D14,IF('계산기'!$C$8="원금균등",'계산기'!$C$5/'계산기'!$C$7,0))))</f>
      </c>
      <c r="F14" s="30">
        <f>IF(B14="","",D14+E14)</f>
      </c>
      <c r="G14" s="30">
        <f>IF(B14="","",C14-E14)</f>
      </c>
    </row>
    <row r="15" spans="2:7" x14ac:dyDescent="0.25">
      <c r="B15" s="29">
        <f>IF(10&lt;='계산기'!$C$7,10,"")</f>
      </c>
      <c r="C15" s="30">
        <f>IF(B15="","",G14)</f>
      </c>
      <c r="D15" s="30">
        <f>IF(B15="","",C15*'계산기'!$C$12)</f>
      </c>
      <c r="E15" s="30">
        <f>IF(B15="","",IF(B15='계산기'!$C$7,C15,IF('계산기'!$C$8="원리금균등",IF('계산기'!$C$12=0,'계산기'!$C$5/'계산기'!$C$7,PMT('계산기'!$C$12,'계산기'!$C$7,-'계산기'!$C$5))-D15,IF('계산기'!$C$8="원금균등",'계산기'!$C$5/'계산기'!$C$7,0))))</f>
      </c>
      <c r="F15" s="30">
        <f>IF(B15="","",D15+E15)</f>
      </c>
      <c r="G15" s="30">
        <f>IF(B15="","",C15-E15)</f>
      </c>
    </row>
    <row r="16" spans="2:7" x14ac:dyDescent="0.25">
      <c r="B16" s="29">
        <f>IF(11&lt;='계산기'!$C$7,11,"")</f>
      </c>
      <c r="C16" s="30">
        <f>IF(B16="","",G15)</f>
      </c>
      <c r="D16" s="30">
        <f>IF(B16="","",C16*'계산기'!$C$12)</f>
      </c>
      <c r="E16" s="30">
        <f>IF(B16="","",IF(B16='계산기'!$C$7,C16,IF('계산기'!$C$8="원리금균등",IF('계산기'!$C$12=0,'계산기'!$C$5/'계산기'!$C$7,PMT('계산기'!$C$12,'계산기'!$C$7,-'계산기'!$C$5))-D16,IF('계산기'!$C$8="원금균등",'계산기'!$C$5/'계산기'!$C$7,0))))</f>
      </c>
      <c r="F16" s="30">
        <f>IF(B16="","",D16+E16)</f>
      </c>
      <c r="G16" s="30">
        <f>IF(B16="","",C16-E16)</f>
      </c>
    </row>
    <row r="17" spans="2:7" x14ac:dyDescent="0.25">
      <c r="B17" s="29">
        <f>IF(12&lt;='계산기'!$C$7,12,"")</f>
      </c>
      <c r="C17" s="30">
        <f>IF(B17="","",G16)</f>
      </c>
      <c r="D17" s="30">
        <f>IF(B17="","",C17*'계산기'!$C$12)</f>
      </c>
      <c r="E17" s="30">
        <f>IF(B17="","",IF(B17='계산기'!$C$7,C17,IF('계산기'!$C$8="원리금균등",IF('계산기'!$C$12=0,'계산기'!$C$5/'계산기'!$C$7,PMT('계산기'!$C$12,'계산기'!$C$7,-'계산기'!$C$5))-D17,IF('계산기'!$C$8="원금균등",'계산기'!$C$5/'계산기'!$C$7,0))))</f>
      </c>
      <c r="F17" s="30">
        <f>IF(B17="","",D17+E17)</f>
      </c>
      <c r="G17" s="30">
        <f>IF(B17="","",C17-E17)</f>
      </c>
    </row>
    <row r="18" spans="2:7" x14ac:dyDescent="0.25">
      <c r="B18" s="29">
        <f>IF(13&lt;='계산기'!$C$7,13,"")</f>
      </c>
      <c r="C18" s="30">
        <f>IF(B18="","",G17)</f>
      </c>
      <c r="D18" s="30">
        <f>IF(B18="","",C18*'계산기'!$C$12)</f>
      </c>
      <c r="E18" s="30">
        <f>IF(B18="","",IF(B18='계산기'!$C$7,C18,IF('계산기'!$C$8="원리금균등",IF('계산기'!$C$12=0,'계산기'!$C$5/'계산기'!$C$7,PMT('계산기'!$C$12,'계산기'!$C$7,-'계산기'!$C$5))-D18,IF('계산기'!$C$8="원금균등",'계산기'!$C$5/'계산기'!$C$7,0))))</f>
      </c>
      <c r="F18" s="30">
        <f>IF(B18="","",D18+E18)</f>
      </c>
      <c r="G18" s="30">
        <f>IF(B18="","",C18-E18)</f>
      </c>
    </row>
    <row r="19" spans="2:7" x14ac:dyDescent="0.25">
      <c r="B19" s="29">
        <f>IF(14&lt;='계산기'!$C$7,14,"")</f>
      </c>
      <c r="C19" s="30">
        <f>IF(B19="","",G18)</f>
      </c>
      <c r="D19" s="30">
        <f>IF(B19="","",C19*'계산기'!$C$12)</f>
      </c>
      <c r="E19" s="30">
        <f>IF(B19="","",IF(B19='계산기'!$C$7,C19,IF('계산기'!$C$8="원리금균등",IF('계산기'!$C$12=0,'계산기'!$C$5/'계산기'!$C$7,PMT('계산기'!$C$12,'계산기'!$C$7,-'계산기'!$C$5))-D19,IF('계산기'!$C$8="원금균등",'계산기'!$C$5/'계산기'!$C$7,0))))</f>
      </c>
      <c r="F19" s="30">
        <f>IF(B19="","",D19+E19)</f>
      </c>
      <c r="G19" s="30">
        <f>IF(B19="","",C19-E19)</f>
      </c>
    </row>
    <row r="20" spans="2:7" x14ac:dyDescent="0.25">
      <c r="B20" s="29">
        <f>IF(15&lt;='계산기'!$C$7,15,"")</f>
      </c>
      <c r="C20" s="30">
        <f>IF(B20="","",G19)</f>
      </c>
      <c r="D20" s="30">
        <f>IF(B20="","",C20*'계산기'!$C$12)</f>
      </c>
      <c r="E20" s="30">
        <f>IF(B20="","",IF(B20='계산기'!$C$7,C20,IF('계산기'!$C$8="원리금균등",IF('계산기'!$C$12=0,'계산기'!$C$5/'계산기'!$C$7,PMT('계산기'!$C$12,'계산기'!$C$7,-'계산기'!$C$5))-D20,IF('계산기'!$C$8="원금균등",'계산기'!$C$5/'계산기'!$C$7,0))))</f>
      </c>
      <c r="F20" s="30">
        <f>IF(B20="","",D20+E20)</f>
      </c>
      <c r="G20" s="30">
        <f>IF(B20="","",C20-E20)</f>
      </c>
    </row>
    <row r="21" spans="2:7" x14ac:dyDescent="0.25">
      <c r="B21" s="29">
        <f>IF(16&lt;='계산기'!$C$7,16,"")</f>
      </c>
      <c r="C21" s="30">
        <f>IF(B21="","",G20)</f>
      </c>
      <c r="D21" s="30">
        <f>IF(B21="","",C21*'계산기'!$C$12)</f>
      </c>
      <c r="E21" s="30">
        <f>IF(B21="","",IF(B21='계산기'!$C$7,C21,IF('계산기'!$C$8="원리금균등",IF('계산기'!$C$12=0,'계산기'!$C$5/'계산기'!$C$7,PMT('계산기'!$C$12,'계산기'!$C$7,-'계산기'!$C$5))-D21,IF('계산기'!$C$8="원금균등",'계산기'!$C$5/'계산기'!$C$7,0))))</f>
      </c>
      <c r="F21" s="30">
        <f>IF(B21="","",D21+E21)</f>
      </c>
      <c r="G21" s="30">
        <f>IF(B21="","",C21-E21)</f>
      </c>
    </row>
    <row r="22" spans="2:7" x14ac:dyDescent="0.25">
      <c r="B22" s="29">
        <f>IF(17&lt;='계산기'!$C$7,17,"")</f>
      </c>
      <c r="C22" s="30">
        <f>IF(B22="","",G21)</f>
      </c>
      <c r="D22" s="30">
        <f>IF(B22="","",C22*'계산기'!$C$12)</f>
      </c>
      <c r="E22" s="30">
        <f>IF(B22="","",IF(B22='계산기'!$C$7,C22,IF('계산기'!$C$8="원리금균등",IF('계산기'!$C$12=0,'계산기'!$C$5/'계산기'!$C$7,PMT('계산기'!$C$12,'계산기'!$C$7,-'계산기'!$C$5))-D22,IF('계산기'!$C$8="원금균등",'계산기'!$C$5/'계산기'!$C$7,0))))</f>
      </c>
      <c r="F22" s="30">
        <f>IF(B22="","",D22+E22)</f>
      </c>
      <c r="G22" s="30">
        <f>IF(B22="","",C22-E22)</f>
      </c>
    </row>
    <row r="23" spans="2:7" x14ac:dyDescent="0.25">
      <c r="B23" s="29">
        <f>IF(18&lt;='계산기'!$C$7,18,"")</f>
      </c>
      <c r="C23" s="30">
        <f>IF(B23="","",G22)</f>
      </c>
      <c r="D23" s="30">
        <f>IF(B23="","",C23*'계산기'!$C$12)</f>
      </c>
      <c r="E23" s="30">
        <f>IF(B23="","",IF(B23='계산기'!$C$7,C23,IF('계산기'!$C$8="원리금균등",IF('계산기'!$C$12=0,'계산기'!$C$5/'계산기'!$C$7,PMT('계산기'!$C$12,'계산기'!$C$7,-'계산기'!$C$5))-D23,IF('계산기'!$C$8="원금균등",'계산기'!$C$5/'계산기'!$C$7,0))))</f>
      </c>
      <c r="F23" s="30">
        <f>IF(B23="","",D23+E23)</f>
      </c>
      <c r="G23" s="30">
        <f>IF(B23="","",C23-E23)</f>
      </c>
    </row>
    <row r="24" spans="2:7" x14ac:dyDescent="0.25">
      <c r="B24" s="29">
        <f>IF(19&lt;='계산기'!$C$7,19,"")</f>
      </c>
      <c r="C24" s="30">
        <f>IF(B24="","",G23)</f>
      </c>
      <c r="D24" s="30">
        <f>IF(B24="","",C24*'계산기'!$C$12)</f>
      </c>
      <c r="E24" s="30">
        <f>IF(B24="","",IF(B24='계산기'!$C$7,C24,IF('계산기'!$C$8="원리금균등",IF('계산기'!$C$12=0,'계산기'!$C$5/'계산기'!$C$7,PMT('계산기'!$C$12,'계산기'!$C$7,-'계산기'!$C$5))-D24,IF('계산기'!$C$8="원금균등",'계산기'!$C$5/'계산기'!$C$7,0))))</f>
      </c>
      <c r="F24" s="30">
        <f>IF(B24="","",D24+E24)</f>
      </c>
      <c r="G24" s="30">
        <f>IF(B24="","",C24-E24)</f>
      </c>
    </row>
    <row r="25" spans="2:7" x14ac:dyDescent="0.25">
      <c r="B25" s="29">
        <f>IF(20&lt;='계산기'!$C$7,20,"")</f>
      </c>
      <c r="C25" s="30">
        <f>IF(B25="","",G24)</f>
      </c>
      <c r="D25" s="30">
        <f>IF(B25="","",C25*'계산기'!$C$12)</f>
      </c>
      <c r="E25" s="30">
        <f>IF(B25="","",IF(B25='계산기'!$C$7,C25,IF('계산기'!$C$8="원리금균등",IF('계산기'!$C$12=0,'계산기'!$C$5/'계산기'!$C$7,PMT('계산기'!$C$12,'계산기'!$C$7,-'계산기'!$C$5))-D25,IF('계산기'!$C$8="원금균등",'계산기'!$C$5/'계산기'!$C$7,0))))</f>
      </c>
      <c r="F25" s="30">
        <f>IF(B25="","",D25+E25)</f>
      </c>
      <c r="G25" s="30">
        <f>IF(B25="","",C25-E25)</f>
      </c>
    </row>
    <row r="26" spans="2:7" x14ac:dyDescent="0.25">
      <c r="B26" s="29">
        <f>IF(21&lt;='계산기'!$C$7,21,"")</f>
      </c>
      <c r="C26" s="30">
        <f>IF(B26="","",G25)</f>
      </c>
      <c r="D26" s="30">
        <f>IF(B26="","",C26*'계산기'!$C$12)</f>
      </c>
      <c r="E26" s="30">
        <f>IF(B26="","",IF(B26='계산기'!$C$7,C26,IF('계산기'!$C$8="원리금균등",IF('계산기'!$C$12=0,'계산기'!$C$5/'계산기'!$C$7,PMT('계산기'!$C$12,'계산기'!$C$7,-'계산기'!$C$5))-D26,IF('계산기'!$C$8="원금균등",'계산기'!$C$5/'계산기'!$C$7,0))))</f>
      </c>
      <c r="F26" s="30">
        <f>IF(B26="","",D26+E26)</f>
      </c>
      <c r="G26" s="30">
        <f>IF(B26="","",C26-E26)</f>
      </c>
    </row>
    <row r="27" spans="2:7" x14ac:dyDescent="0.25">
      <c r="B27" s="29">
        <f>IF(22&lt;='계산기'!$C$7,22,"")</f>
      </c>
      <c r="C27" s="30">
        <f>IF(B27="","",G26)</f>
      </c>
      <c r="D27" s="30">
        <f>IF(B27="","",C27*'계산기'!$C$12)</f>
      </c>
      <c r="E27" s="30">
        <f>IF(B27="","",IF(B27='계산기'!$C$7,C27,IF('계산기'!$C$8="원리금균등",IF('계산기'!$C$12=0,'계산기'!$C$5/'계산기'!$C$7,PMT('계산기'!$C$12,'계산기'!$C$7,-'계산기'!$C$5))-D27,IF('계산기'!$C$8="원금균등",'계산기'!$C$5/'계산기'!$C$7,0))))</f>
      </c>
      <c r="F27" s="30">
        <f>IF(B27="","",D27+E27)</f>
      </c>
      <c r="G27" s="30">
        <f>IF(B27="","",C27-E27)</f>
      </c>
    </row>
    <row r="28" spans="2:7" x14ac:dyDescent="0.25">
      <c r="B28" s="29">
        <f>IF(23&lt;='계산기'!$C$7,23,"")</f>
      </c>
      <c r="C28" s="30">
        <f>IF(B28="","",G27)</f>
      </c>
      <c r="D28" s="30">
        <f>IF(B28="","",C28*'계산기'!$C$12)</f>
      </c>
      <c r="E28" s="30">
        <f>IF(B28="","",IF(B28='계산기'!$C$7,C28,IF('계산기'!$C$8="원리금균등",IF('계산기'!$C$12=0,'계산기'!$C$5/'계산기'!$C$7,PMT('계산기'!$C$12,'계산기'!$C$7,-'계산기'!$C$5))-D28,IF('계산기'!$C$8="원금균등",'계산기'!$C$5/'계산기'!$C$7,0))))</f>
      </c>
      <c r="F28" s="30">
        <f>IF(B28="","",D28+E28)</f>
      </c>
      <c r="G28" s="30">
        <f>IF(B28="","",C28-E28)</f>
      </c>
    </row>
    <row r="29" spans="2:7" x14ac:dyDescent="0.25">
      <c r="B29" s="29">
        <f>IF(24&lt;='계산기'!$C$7,24,"")</f>
      </c>
      <c r="C29" s="30">
        <f>IF(B29="","",G28)</f>
      </c>
      <c r="D29" s="30">
        <f>IF(B29="","",C29*'계산기'!$C$12)</f>
      </c>
      <c r="E29" s="30">
        <f>IF(B29="","",IF(B29='계산기'!$C$7,C29,IF('계산기'!$C$8="원리금균등",IF('계산기'!$C$12=0,'계산기'!$C$5/'계산기'!$C$7,PMT('계산기'!$C$12,'계산기'!$C$7,-'계산기'!$C$5))-D29,IF('계산기'!$C$8="원금균등",'계산기'!$C$5/'계산기'!$C$7,0))))</f>
      </c>
      <c r="F29" s="30">
        <f>IF(B29="","",D29+E29)</f>
      </c>
      <c r="G29" s="30">
        <f>IF(B29="","",C29-E29)</f>
      </c>
    </row>
    <row r="30" spans="2:7" x14ac:dyDescent="0.25">
      <c r="B30" s="29">
        <f>IF(25&lt;='계산기'!$C$7,25,"")</f>
      </c>
      <c r="C30" s="30">
        <f>IF(B30="","",G29)</f>
      </c>
      <c r="D30" s="30">
        <f>IF(B30="","",C30*'계산기'!$C$12)</f>
      </c>
      <c r="E30" s="30">
        <f>IF(B30="","",IF(B30='계산기'!$C$7,C30,IF('계산기'!$C$8="원리금균등",IF('계산기'!$C$12=0,'계산기'!$C$5/'계산기'!$C$7,PMT('계산기'!$C$12,'계산기'!$C$7,-'계산기'!$C$5))-D30,IF('계산기'!$C$8="원금균등",'계산기'!$C$5/'계산기'!$C$7,0))))</f>
      </c>
      <c r="F30" s="30">
        <f>IF(B30="","",D30+E30)</f>
      </c>
      <c r="G30" s="30">
        <f>IF(B30="","",C30-E30)</f>
      </c>
    </row>
    <row r="31" spans="2:7" x14ac:dyDescent="0.25">
      <c r="B31" s="29">
        <f>IF(26&lt;='계산기'!$C$7,26,"")</f>
      </c>
      <c r="C31" s="30">
        <f>IF(B31="","",G30)</f>
      </c>
      <c r="D31" s="30">
        <f>IF(B31="","",C31*'계산기'!$C$12)</f>
      </c>
      <c r="E31" s="30">
        <f>IF(B31="","",IF(B31='계산기'!$C$7,C31,IF('계산기'!$C$8="원리금균등",IF('계산기'!$C$12=0,'계산기'!$C$5/'계산기'!$C$7,PMT('계산기'!$C$12,'계산기'!$C$7,-'계산기'!$C$5))-D31,IF('계산기'!$C$8="원금균등",'계산기'!$C$5/'계산기'!$C$7,0))))</f>
      </c>
      <c r="F31" s="30">
        <f>IF(B31="","",D31+E31)</f>
      </c>
      <c r="G31" s="30">
        <f>IF(B31="","",C31-E31)</f>
      </c>
    </row>
    <row r="32" spans="2:7" x14ac:dyDescent="0.25">
      <c r="B32" s="29">
        <f>IF(27&lt;='계산기'!$C$7,27,"")</f>
      </c>
      <c r="C32" s="30">
        <f>IF(B32="","",G31)</f>
      </c>
      <c r="D32" s="30">
        <f>IF(B32="","",C32*'계산기'!$C$12)</f>
      </c>
      <c r="E32" s="30">
        <f>IF(B32="","",IF(B32='계산기'!$C$7,C32,IF('계산기'!$C$8="원리금균등",IF('계산기'!$C$12=0,'계산기'!$C$5/'계산기'!$C$7,PMT('계산기'!$C$12,'계산기'!$C$7,-'계산기'!$C$5))-D32,IF('계산기'!$C$8="원금균등",'계산기'!$C$5/'계산기'!$C$7,0))))</f>
      </c>
      <c r="F32" s="30">
        <f>IF(B32="","",D32+E32)</f>
      </c>
      <c r="G32" s="30">
        <f>IF(B32="","",C32-E32)</f>
      </c>
    </row>
    <row r="33" spans="2:7" x14ac:dyDescent="0.25">
      <c r="B33" s="29">
        <f>IF(28&lt;='계산기'!$C$7,28,"")</f>
      </c>
      <c r="C33" s="30">
        <f>IF(B33="","",G32)</f>
      </c>
      <c r="D33" s="30">
        <f>IF(B33="","",C33*'계산기'!$C$12)</f>
      </c>
      <c r="E33" s="30">
        <f>IF(B33="","",IF(B33='계산기'!$C$7,C33,IF('계산기'!$C$8="원리금균등",IF('계산기'!$C$12=0,'계산기'!$C$5/'계산기'!$C$7,PMT('계산기'!$C$12,'계산기'!$C$7,-'계산기'!$C$5))-D33,IF('계산기'!$C$8="원금균등",'계산기'!$C$5/'계산기'!$C$7,0))))</f>
      </c>
      <c r="F33" s="30">
        <f>IF(B33="","",D33+E33)</f>
      </c>
      <c r="G33" s="30">
        <f>IF(B33="","",C33-E33)</f>
      </c>
    </row>
    <row r="34" spans="2:7" x14ac:dyDescent="0.25">
      <c r="B34" s="29">
        <f>IF(29&lt;='계산기'!$C$7,29,"")</f>
      </c>
      <c r="C34" s="30">
        <f>IF(B34="","",G33)</f>
      </c>
      <c r="D34" s="30">
        <f>IF(B34="","",C34*'계산기'!$C$12)</f>
      </c>
      <c r="E34" s="30">
        <f>IF(B34="","",IF(B34='계산기'!$C$7,C34,IF('계산기'!$C$8="원리금균등",IF('계산기'!$C$12=0,'계산기'!$C$5/'계산기'!$C$7,PMT('계산기'!$C$12,'계산기'!$C$7,-'계산기'!$C$5))-D34,IF('계산기'!$C$8="원금균등",'계산기'!$C$5/'계산기'!$C$7,0))))</f>
      </c>
      <c r="F34" s="30">
        <f>IF(B34="","",D34+E34)</f>
      </c>
      <c r="G34" s="30">
        <f>IF(B34="","",C34-E34)</f>
      </c>
    </row>
    <row r="35" spans="2:7" x14ac:dyDescent="0.25">
      <c r="B35" s="29">
        <f>IF(30&lt;='계산기'!$C$7,30,"")</f>
      </c>
      <c r="C35" s="30">
        <f>IF(B35="","",G34)</f>
      </c>
      <c r="D35" s="30">
        <f>IF(B35="","",C35*'계산기'!$C$12)</f>
      </c>
      <c r="E35" s="30">
        <f>IF(B35="","",IF(B35='계산기'!$C$7,C35,IF('계산기'!$C$8="원리금균등",IF('계산기'!$C$12=0,'계산기'!$C$5/'계산기'!$C$7,PMT('계산기'!$C$12,'계산기'!$C$7,-'계산기'!$C$5))-D35,IF('계산기'!$C$8="원금균등",'계산기'!$C$5/'계산기'!$C$7,0))))</f>
      </c>
      <c r="F35" s="30">
        <f>IF(B35="","",D35+E35)</f>
      </c>
      <c r="G35" s="30">
        <f>IF(B35="","",C35-E35)</f>
      </c>
    </row>
    <row r="36" spans="2:7" x14ac:dyDescent="0.25">
      <c r="B36" s="29">
        <f>IF(31&lt;='계산기'!$C$7,31,"")</f>
      </c>
      <c r="C36" s="30">
        <f>IF(B36="","",G35)</f>
      </c>
      <c r="D36" s="30">
        <f>IF(B36="","",C36*'계산기'!$C$12)</f>
      </c>
      <c r="E36" s="30">
        <f>IF(B36="","",IF(B36='계산기'!$C$7,C36,IF('계산기'!$C$8="원리금균등",IF('계산기'!$C$12=0,'계산기'!$C$5/'계산기'!$C$7,PMT('계산기'!$C$12,'계산기'!$C$7,-'계산기'!$C$5))-D36,IF('계산기'!$C$8="원금균등",'계산기'!$C$5/'계산기'!$C$7,0))))</f>
      </c>
      <c r="F36" s="30">
        <f>IF(B36="","",D36+E36)</f>
      </c>
      <c r="G36" s="30">
        <f>IF(B36="","",C36-E36)</f>
      </c>
    </row>
    <row r="37" spans="2:7" x14ac:dyDescent="0.25">
      <c r="B37" s="29">
        <f>IF(32&lt;='계산기'!$C$7,32,"")</f>
      </c>
      <c r="C37" s="30">
        <f>IF(B37="","",G36)</f>
      </c>
      <c r="D37" s="30">
        <f>IF(B37="","",C37*'계산기'!$C$12)</f>
      </c>
      <c r="E37" s="30">
        <f>IF(B37="","",IF(B37='계산기'!$C$7,C37,IF('계산기'!$C$8="원리금균등",IF('계산기'!$C$12=0,'계산기'!$C$5/'계산기'!$C$7,PMT('계산기'!$C$12,'계산기'!$C$7,-'계산기'!$C$5))-D37,IF('계산기'!$C$8="원금균등",'계산기'!$C$5/'계산기'!$C$7,0))))</f>
      </c>
      <c r="F37" s="30">
        <f>IF(B37="","",D37+E37)</f>
      </c>
      <c r="G37" s="30">
        <f>IF(B37="","",C37-E37)</f>
      </c>
    </row>
    <row r="38" spans="2:7" x14ac:dyDescent="0.25">
      <c r="B38" s="29">
        <f>IF(33&lt;='계산기'!$C$7,33,"")</f>
      </c>
      <c r="C38" s="30">
        <f>IF(B38="","",G37)</f>
      </c>
      <c r="D38" s="30">
        <f>IF(B38="","",C38*'계산기'!$C$12)</f>
      </c>
      <c r="E38" s="30">
        <f>IF(B38="","",IF(B38='계산기'!$C$7,C38,IF('계산기'!$C$8="원리금균등",IF('계산기'!$C$12=0,'계산기'!$C$5/'계산기'!$C$7,PMT('계산기'!$C$12,'계산기'!$C$7,-'계산기'!$C$5))-D38,IF('계산기'!$C$8="원금균등",'계산기'!$C$5/'계산기'!$C$7,0))))</f>
      </c>
      <c r="F38" s="30">
        <f>IF(B38="","",D38+E38)</f>
      </c>
      <c r="G38" s="30">
        <f>IF(B38="","",C38-E38)</f>
      </c>
    </row>
    <row r="39" spans="2:7" x14ac:dyDescent="0.25">
      <c r="B39" s="29">
        <f>IF(34&lt;='계산기'!$C$7,34,"")</f>
      </c>
      <c r="C39" s="30">
        <f>IF(B39="","",G38)</f>
      </c>
      <c r="D39" s="30">
        <f>IF(B39="","",C39*'계산기'!$C$12)</f>
      </c>
      <c r="E39" s="30">
        <f>IF(B39="","",IF(B39='계산기'!$C$7,C39,IF('계산기'!$C$8="원리금균등",IF('계산기'!$C$12=0,'계산기'!$C$5/'계산기'!$C$7,PMT('계산기'!$C$12,'계산기'!$C$7,-'계산기'!$C$5))-D39,IF('계산기'!$C$8="원금균등",'계산기'!$C$5/'계산기'!$C$7,0))))</f>
      </c>
      <c r="F39" s="30">
        <f>IF(B39="","",D39+E39)</f>
      </c>
      <c r="G39" s="30">
        <f>IF(B39="","",C39-E39)</f>
      </c>
    </row>
    <row r="40" spans="2:7" x14ac:dyDescent="0.25">
      <c r="B40" s="29">
        <f>IF(35&lt;='계산기'!$C$7,35,"")</f>
      </c>
      <c r="C40" s="30">
        <f>IF(B40="","",G39)</f>
      </c>
      <c r="D40" s="30">
        <f>IF(B40="","",C40*'계산기'!$C$12)</f>
      </c>
      <c r="E40" s="30">
        <f>IF(B40="","",IF(B40='계산기'!$C$7,C40,IF('계산기'!$C$8="원리금균등",IF('계산기'!$C$12=0,'계산기'!$C$5/'계산기'!$C$7,PMT('계산기'!$C$12,'계산기'!$C$7,-'계산기'!$C$5))-D40,IF('계산기'!$C$8="원금균등",'계산기'!$C$5/'계산기'!$C$7,0))))</f>
      </c>
      <c r="F40" s="30">
        <f>IF(B40="","",D40+E40)</f>
      </c>
      <c r="G40" s="30">
        <f>IF(B40="","",C40-E40)</f>
      </c>
    </row>
    <row r="41" spans="2:7" x14ac:dyDescent="0.25">
      <c r="B41" s="29">
        <f>IF(36&lt;='계산기'!$C$7,36,"")</f>
      </c>
      <c r="C41" s="30">
        <f>IF(B41="","",G40)</f>
      </c>
      <c r="D41" s="30">
        <f>IF(B41="","",C41*'계산기'!$C$12)</f>
      </c>
      <c r="E41" s="30">
        <f>IF(B41="","",IF(B41='계산기'!$C$7,C41,IF('계산기'!$C$8="원리금균등",IF('계산기'!$C$12=0,'계산기'!$C$5/'계산기'!$C$7,PMT('계산기'!$C$12,'계산기'!$C$7,-'계산기'!$C$5))-D41,IF('계산기'!$C$8="원금균등",'계산기'!$C$5/'계산기'!$C$7,0))))</f>
      </c>
      <c r="F41" s="30">
        <f>IF(B41="","",D41+E41)</f>
      </c>
      <c r="G41" s="30">
        <f>IF(B41="","",C41-E41)</f>
      </c>
    </row>
    <row r="42" spans="2:7" x14ac:dyDescent="0.25">
      <c r="B42" s="29">
        <f>IF(37&lt;='계산기'!$C$7,37,"")</f>
      </c>
      <c r="C42" s="30">
        <f>IF(B42="","",G41)</f>
      </c>
      <c r="D42" s="30">
        <f>IF(B42="","",C42*'계산기'!$C$12)</f>
      </c>
      <c r="E42" s="30">
        <f>IF(B42="","",IF(B42='계산기'!$C$7,C42,IF('계산기'!$C$8="원리금균등",IF('계산기'!$C$12=0,'계산기'!$C$5/'계산기'!$C$7,PMT('계산기'!$C$12,'계산기'!$C$7,-'계산기'!$C$5))-D42,IF('계산기'!$C$8="원금균등",'계산기'!$C$5/'계산기'!$C$7,0))))</f>
      </c>
      <c r="F42" s="30">
        <f>IF(B42="","",D42+E42)</f>
      </c>
      <c r="G42" s="30">
        <f>IF(B42="","",C42-E42)</f>
      </c>
    </row>
    <row r="43" spans="2:7" x14ac:dyDescent="0.25">
      <c r="B43" s="29">
        <f>IF(38&lt;='계산기'!$C$7,38,"")</f>
      </c>
      <c r="C43" s="30">
        <f>IF(B43="","",G42)</f>
      </c>
      <c r="D43" s="30">
        <f>IF(B43="","",C43*'계산기'!$C$12)</f>
      </c>
      <c r="E43" s="30">
        <f>IF(B43="","",IF(B43='계산기'!$C$7,C43,IF('계산기'!$C$8="원리금균등",IF('계산기'!$C$12=0,'계산기'!$C$5/'계산기'!$C$7,PMT('계산기'!$C$12,'계산기'!$C$7,-'계산기'!$C$5))-D43,IF('계산기'!$C$8="원금균등",'계산기'!$C$5/'계산기'!$C$7,0))))</f>
      </c>
      <c r="F43" s="30">
        <f>IF(B43="","",D43+E43)</f>
      </c>
      <c r="G43" s="30">
        <f>IF(B43="","",C43-E43)</f>
      </c>
    </row>
    <row r="44" spans="2:7" x14ac:dyDescent="0.25">
      <c r="B44" s="29">
        <f>IF(39&lt;='계산기'!$C$7,39,"")</f>
      </c>
      <c r="C44" s="30">
        <f>IF(B44="","",G43)</f>
      </c>
      <c r="D44" s="30">
        <f>IF(B44="","",C44*'계산기'!$C$12)</f>
      </c>
      <c r="E44" s="30">
        <f>IF(B44="","",IF(B44='계산기'!$C$7,C44,IF('계산기'!$C$8="원리금균등",IF('계산기'!$C$12=0,'계산기'!$C$5/'계산기'!$C$7,PMT('계산기'!$C$12,'계산기'!$C$7,-'계산기'!$C$5))-D44,IF('계산기'!$C$8="원금균등",'계산기'!$C$5/'계산기'!$C$7,0))))</f>
      </c>
      <c r="F44" s="30">
        <f>IF(B44="","",D44+E44)</f>
      </c>
      <c r="G44" s="30">
        <f>IF(B44="","",C44-E44)</f>
      </c>
    </row>
    <row r="45" spans="2:7" x14ac:dyDescent="0.25">
      <c r="B45" s="29">
        <f>IF(40&lt;='계산기'!$C$7,40,"")</f>
      </c>
      <c r="C45" s="30">
        <f>IF(B45="","",G44)</f>
      </c>
      <c r="D45" s="30">
        <f>IF(B45="","",C45*'계산기'!$C$12)</f>
      </c>
      <c r="E45" s="30">
        <f>IF(B45="","",IF(B45='계산기'!$C$7,C45,IF('계산기'!$C$8="원리금균등",IF('계산기'!$C$12=0,'계산기'!$C$5/'계산기'!$C$7,PMT('계산기'!$C$12,'계산기'!$C$7,-'계산기'!$C$5))-D45,IF('계산기'!$C$8="원금균등",'계산기'!$C$5/'계산기'!$C$7,0))))</f>
      </c>
      <c r="F45" s="30">
        <f>IF(B45="","",D45+E45)</f>
      </c>
      <c r="G45" s="30">
        <f>IF(B45="","",C45-E45)</f>
      </c>
    </row>
    <row r="46" spans="2:7" x14ac:dyDescent="0.25">
      <c r="B46" s="29">
        <f>IF(41&lt;='계산기'!$C$7,41,"")</f>
      </c>
      <c r="C46" s="30">
        <f>IF(B46="","",G45)</f>
      </c>
      <c r="D46" s="30">
        <f>IF(B46="","",C46*'계산기'!$C$12)</f>
      </c>
      <c r="E46" s="30">
        <f>IF(B46="","",IF(B46='계산기'!$C$7,C46,IF('계산기'!$C$8="원리금균등",IF('계산기'!$C$12=0,'계산기'!$C$5/'계산기'!$C$7,PMT('계산기'!$C$12,'계산기'!$C$7,-'계산기'!$C$5))-D46,IF('계산기'!$C$8="원금균등",'계산기'!$C$5/'계산기'!$C$7,0))))</f>
      </c>
      <c r="F46" s="30">
        <f>IF(B46="","",D46+E46)</f>
      </c>
      <c r="G46" s="30">
        <f>IF(B46="","",C46-E46)</f>
      </c>
    </row>
    <row r="47" spans="2:7" x14ac:dyDescent="0.25">
      <c r="B47" s="29">
        <f>IF(42&lt;='계산기'!$C$7,42,"")</f>
      </c>
      <c r="C47" s="30">
        <f>IF(B47="","",G46)</f>
      </c>
      <c r="D47" s="30">
        <f>IF(B47="","",C47*'계산기'!$C$12)</f>
      </c>
      <c r="E47" s="30">
        <f>IF(B47="","",IF(B47='계산기'!$C$7,C47,IF('계산기'!$C$8="원리금균등",IF('계산기'!$C$12=0,'계산기'!$C$5/'계산기'!$C$7,PMT('계산기'!$C$12,'계산기'!$C$7,-'계산기'!$C$5))-D47,IF('계산기'!$C$8="원금균등",'계산기'!$C$5/'계산기'!$C$7,0))))</f>
      </c>
      <c r="F47" s="30">
        <f>IF(B47="","",D47+E47)</f>
      </c>
      <c r="G47" s="30">
        <f>IF(B47="","",C47-E47)</f>
      </c>
    </row>
    <row r="48" spans="2:7" x14ac:dyDescent="0.25">
      <c r="B48" s="29">
        <f>IF(43&lt;='계산기'!$C$7,43,"")</f>
      </c>
      <c r="C48" s="30">
        <f>IF(B48="","",G47)</f>
      </c>
      <c r="D48" s="30">
        <f>IF(B48="","",C48*'계산기'!$C$12)</f>
      </c>
      <c r="E48" s="30">
        <f>IF(B48="","",IF(B48='계산기'!$C$7,C48,IF('계산기'!$C$8="원리금균등",IF('계산기'!$C$12=0,'계산기'!$C$5/'계산기'!$C$7,PMT('계산기'!$C$12,'계산기'!$C$7,-'계산기'!$C$5))-D48,IF('계산기'!$C$8="원금균등",'계산기'!$C$5/'계산기'!$C$7,0))))</f>
      </c>
      <c r="F48" s="30">
        <f>IF(B48="","",D48+E48)</f>
      </c>
      <c r="G48" s="30">
        <f>IF(B48="","",C48-E48)</f>
      </c>
    </row>
    <row r="49" spans="2:7" x14ac:dyDescent="0.25">
      <c r="B49" s="29">
        <f>IF(44&lt;='계산기'!$C$7,44,"")</f>
      </c>
      <c r="C49" s="30">
        <f>IF(B49="","",G48)</f>
      </c>
      <c r="D49" s="30">
        <f>IF(B49="","",C49*'계산기'!$C$12)</f>
      </c>
      <c r="E49" s="30">
        <f>IF(B49="","",IF(B49='계산기'!$C$7,C49,IF('계산기'!$C$8="원리금균등",IF('계산기'!$C$12=0,'계산기'!$C$5/'계산기'!$C$7,PMT('계산기'!$C$12,'계산기'!$C$7,-'계산기'!$C$5))-D49,IF('계산기'!$C$8="원금균등",'계산기'!$C$5/'계산기'!$C$7,0))))</f>
      </c>
      <c r="F49" s="30">
        <f>IF(B49="","",D49+E49)</f>
      </c>
      <c r="G49" s="30">
        <f>IF(B49="","",C49-E49)</f>
      </c>
    </row>
    <row r="50" spans="2:7" x14ac:dyDescent="0.25">
      <c r="B50" s="29">
        <f>IF(45&lt;='계산기'!$C$7,45,"")</f>
      </c>
      <c r="C50" s="30">
        <f>IF(B50="","",G49)</f>
      </c>
      <c r="D50" s="30">
        <f>IF(B50="","",C50*'계산기'!$C$12)</f>
      </c>
      <c r="E50" s="30">
        <f>IF(B50="","",IF(B50='계산기'!$C$7,C50,IF('계산기'!$C$8="원리금균등",IF('계산기'!$C$12=0,'계산기'!$C$5/'계산기'!$C$7,PMT('계산기'!$C$12,'계산기'!$C$7,-'계산기'!$C$5))-D50,IF('계산기'!$C$8="원금균등",'계산기'!$C$5/'계산기'!$C$7,0))))</f>
      </c>
      <c r="F50" s="30">
        <f>IF(B50="","",D50+E50)</f>
      </c>
      <c r="G50" s="30">
        <f>IF(B50="","",C50-E50)</f>
      </c>
    </row>
    <row r="51" spans="2:7" x14ac:dyDescent="0.25">
      <c r="B51" s="29">
        <f>IF(46&lt;='계산기'!$C$7,46,"")</f>
      </c>
      <c r="C51" s="30">
        <f>IF(B51="","",G50)</f>
      </c>
      <c r="D51" s="30">
        <f>IF(B51="","",C51*'계산기'!$C$12)</f>
      </c>
      <c r="E51" s="30">
        <f>IF(B51="","",IF(B51='계산기'!$C$7,C51,IF('계산기'!$C$8="원리금균등",IF('계산기'!$C$12=0,'계산기'!$C$5/'계산기'!$C$7,PMT('계산기'!$C$12,'계산기'!$C$7,-'계산기'!$C$5))-D51,IF('계산기'!$C$8="원금균등",'계산기'!$C$5/'계산기'!$C$7,0))))</f>
      </c>
      <c r="F51" s="30">
        <f>IF(B51="","",D51+E51)</f>
      </c>
      <c r="G51" s="30">
        <f>IF(B51="","",C51-E51)</f>
      </c>
    </row>
    <row r="52" spans="2:7" x14ac:dyDescent="0.25">
      <c r="B52" s="29">
        <f>IF(47&lt;='계산기'!$C$7,47,"")</f>
      </c>
      <c r="C52" s="30">
        <f>IF(B52="","",G51)</f>
      </c>
      <c r="D52" s="30">
        <f>IF(B52="","",C52*'계산기'!$C$12)</f>
      </c>
      <c r="E52" s="30">
        <f>IF(B52="","",IF(B52='계산기'!$C$7,C52,IF('계산기'!$C$8="원리금균등",IF('계산기'!$C$12=0,'계산기'!$C$5/'계산기'!$C$7,PMT('계산기'!$C$12,'계산기'!$C$7,-'계산기'!$C$5))-D52,IF('계산기'!$C$8="원금균등",'계산기'!$C$5/'계산기'!$C$7,0))))</f>
      </c>
      <c r="F52" s="30">
        <f>IF(B52="","",D52+E52)</f>
      </c>
      <c r="G52" s="30">
        <f>IF(B52="","",C52-E52)</f>
      </c>
    </row>
    <row r="53" spans="2:7" x14ac:dyDescent="0.25">
      <c r="B53" s="29">
        <f>IF(48&lt;='계산기'!$C$7,48,"")</f>
      </c>
      <c r="C53" s="30">
        <f>IF(B53="","",G52)</f>
      </c>
      <c r="D53" s="30">
        <f>IF(B53="","",C53*'계산기'!$C$12)</f>
      </c>
      <c r="E53" s="30">
        <f>IF(B53="","",IF(B53='계산기'!$C$7,C53,IF('계산기'!$C$8="원리금균등",IF('계산기'!$C$12=0,'계산기'!$C$5/'계산기'!$C$7,PMT('계산기'!$C$12,'계산기'!$C$7,-'계산기'!$C$5))-D53,IF('계산기'!$C$8="원금균등",'계산기'!$C$5/'계산기'!$C$7,0))))</f>
      </c>
      <c r="F53" s="30">
        <f>IF(B53="","",D53+E53)</f>
      </c>
      <c r="G53" s="30">
        <f>IF(B53="","",C53-E53)</f>
      </c>
    </row>
    <row r="54" spans="2:7" x14ac:dyDescent="0.25">
      <c r="B54" s="29">
        <f>IF(49&lt;='계산기'!$C$7,49,"")</f>
      </c>
      <c r="C54" s="30">
        <f>IF(B54="","",G53)</f>
      </c>
      <c r="D54" s="30">
        <f>IF(B54="","",C54*'계산기'!$C$12)</f>
      </c>
      <c r="E54" s="30">
        <f>IF(B54="","",IF(B54='계산기'!$C$7,C54,IF('계산기'!$C$8="원리금균등",IF('계산기'!$C$12=0,'계산기'!$C$5/'계산기'!$C$7,PMT('계산기'!$C$12,'계산기'!$C$7,-'계산기'!$C$5))-D54,IF('계산기'!$C$8="원금균등",'계산기'!$C$5/'계산기'!$C$7,0))))</f>
      </c>
      <c r="F54" s="30">
        <f>IF(B54="","",D54+E54)</f>
      </c>
      <c r="G54" s="30">
        <f>IF(B54="","",C54-E54)</f>
      </c>
    </row>
    <row r="55" spans="2:7" x14ac:dyDescent="0.25">
      <c r="B55" s="29">
        <f>IF(50&lt;='계산기'!$C$7,50,"")</f>
      </c>
      <c r="C55" s="30">
        <f>IF(B55="","",G54)</f>
      </c>
      <c r="D55" s="30">
        <f>IF(B55="","",C55*'계산기'!$C$12)</f>
      </c>
      <c r="E55" s="30">
        <f>IF(B55="","",IF(B55='계산기'!$C$7,C55,IF('계산기'!$C$8="원리금균등",IF('계산기'!$C$12=0,'계산기'!$C$5/'계산기'!$C$7,PMT('계산기'!$C$12,'계산기'!$C$7,-'계산기'!$C$5))-D55,IF('계산기'!$C$8="원금균등",'계산기'!$C$5/'계산기'!$C$7,0))))</f>
      </c>
      <c r="F55" s="30">
        <f>IF(B55="","",D55+E55)</f>
      </c>
      <c r="G55" s="30">
        <f>IF(B55="","",C55-E55)</f>
      </c>
    </row>
    <row r="56" spans="2:7" x14ac:dyDescent="0.25">
      <c r="B56" s="29">
        <f>IF(51&lt;='계산기'!$C$7,51,"")</f>
      </c>
      <c r="C56" s="30">
        <f>IF(B56="","",G55)</f>
      </c>
      <c r="D56" s="30">
        <f>IF(B56="","",C56*'계산기'!$C$12)</f>
      </c>
      <c r="E56" s="30">
        <f>IF(B56="","",IF(B56='계산기'!$C$7,C56,IF('계산기'!$C$8="원리금균등",IF('계산기'!$C$12=0,'계산기'!$C$5/'계산기'!$C$7,PMT('계산기'!$C$12,'계산기'!$C$7,-'계산기'!$C$5))-D56,IF('계산기'!$C$8="원금균등",'계산기'!$C$5/'계산기'!$C$7,0))))</f>
      </c>
      <c r="F56" s="30">
        <f>IF(B56="","",D56+E56)</f>
      </c>
      <c r="G56" s="30">
        <f>IF(B56="","",C56-E56)</f>
      </c>
    </row>
    <row r="57" spans="2:7" x14ac:dyDescent="0.25">
      <c r="B57" s="29">
        <f>IF(52&lt;='계산기'!$C$7,52,"")</f>
      </c>
      <c r="C57" s="30">
        <f>IF(B57="","",G56)</f>
      </c>
      <c r="D57" s="30">
        <f>IF(B57="","",C57*'계산기'!$C$12)</f>
      </c>
      <c r="E57" s="30">
        <f>IF(B57="","",IF(B57='계산기'!$C$7,C57,IF('계산기'!$C$8="원리금균등",IF('계산기'!$C$12=0,'계산기'!$C$5/'계산기'!$C$7,PMT('계산기'!$C$12,'계산기'!$C$7,-'계산기'!$C$5))-D57,IF('계산기'!$C$8="원금균등",'계산기'!$C$5/'계산기'!$C$7,0))))</f>
      </c>
      <c r="F57" s="30">
        <f>IF(B57="","",D57+E57)</f>
      </c>
      <c r="G57" s="30">
        <f>IF(B57="","",C57-E57)</f>
      </c>
    </row>
    <row r="58" spans="2:7" x14ac:dyDescent="0.25">
      <c r="B58" s="29">
        <f>IF(53&lt;='계산기'!$C$7,53,"")</f>
      </c>
      <c r="C58" s="30">
        <f>IF(B58="","",G57)</f>
      </c>
      <c r="D58" s="30">
        <f>IF(B58="","",C58*'계산기'!$C$12)</f>
      </c>
      <c r="E58" s="30">
        <f>IF(B58="","",IF(B58='계산기'!$C$7,C58,IF('계산기'!$C$8="원리금균등",IF('계산기'!$C$12=0,'계산기'!$C$5/'계산기'!$C$7,PMT('계산기'!$C$12,'계산기'!$C$7,-'계산기'!$C$5))-D58,IF('계산기'!$C$8="원금균등",'계산기'!$C$5/'계산기'!$C$7,0))))</f>
      </c>
      <c r="F58" s="30">
        <f>IF(B58="","",D58+E58)</f>
      </c>
      <c r="G58" s="30">
        <f>IF(B58="","",C58-E58)</f>
      </c>
    </row>
    <row r="59" spans="2:7" x14ac:dyDescent="0.25">
      <c r="B59" s="29">
        <f>IF(54&lt;='계산기'!$C$7,54,"")</f>
      </c>
      <c r="C59" s="30">
        <f>IF(B59="","",G58)</f>
      </c>
      <c r="D59" s="30">
        <f>IF(B59="","",C59*'계산기'!$C$12)</f>
      </c>
      <c r="E59" s="30">
        <f>IF(B59="","",IF(B59='계산기'!$C$7,C59,IF('계산기'!$C$8="원리금균등",IF('계산기'!$C$12=0,'계산기'!$C$5/'계산기'!$C$7,PMT('계산기'!$C$12,'계산기'!$C$7,-'계산기'!$C$5))-D59,IF('계산기'!$C$8="원금균등",'계산기'!$C$5/'계산기'!$C$7,0))))</f>
      </c>
      <c r="F59" s="30">
        <f>IF(B59="","",D59+E59)</f>
      </c>
      <c r="G59" s="30">
        <f>IF(B59="","",C59-E59)</f>
      </c>
    </row>
    <row r="60" spans="2:7" x14ac:dyDescent="0.25">
      <c r="B60" s="29">
        <f>IF(55&lt;='계산기'!$C$7,55,"")</f>
      </c>
      <c r="C60" s="30">
        <f>IF(B60="","",G59)</f>
      </c>
      <c r="D60" s="30">
        <f>IF(B60="","",C60*'계산기'!$C$12)</f>
      </c>
      <c r="E60" s="30">
        <f>IF(B60="","",IF(B60='계산기'!$C$7,C60,IF('계산기'!$C$8="원리금균등",IF('계산기'!$C$12=0,'계산기'!$C$5/'계산기'!$C$7,PMT('계산기'!$C$12,'계산기'!$C$7,-'계산기'!$C$5))-D60,IF('계산기'!$C$8="원금균등",'계산기'!$C$5/'계산기'!$C$7,0))))</f>
      </c>
      <c r="F60" s="30">
        <f>IF(B60="","",D60+E60)</f>
      </c>
      <c r="G60" s="30">
        <f>IF(B60="","",C60-E60)</f>
      </c>
    </row>
    <row r="61" spans="2:7" x14ac:dyDescent="0.25">
      <c r="B61" s="29">
        <f>IF(56&lt;='계산기'!$C$7,56,"")</f>
      </c>
      <c r="C61" s="30">
        <f>IF(B61="","",G60)</f>
      </c>
      <c r="D61" s="30">
        <f>IF(B61="","",C61*'계산기'!$C$12)</f>
      </c>
      <c r="E61" s="30">
        <f>IF(B61="","",IF(B61='계산기'!$C$7,C61,IF('계산기'!$C$8="원리금균등",IF('계산기'!$C$12=0,'계산기'!$C$5/'계산기'!$C$7,PMT('계산기'!$C$12,'계산기'!$C$7,-'계산기'!$C$5))-D61,IF('계산기'!$C$8="원금균등",'계산기'!$C$5/'계산기'!$C$7,0))))</f>
      </c>
      <c r="F61" s="30">
        <f>IF(B61="","",D61+E61)</f>
      </c>
      <c r="G61" s="30">
        <f>IF(B61="","",C61-E61)</f>
      </c>
    </row>
    <row r="62" spans="2:7" x14ac:dyDescent="0.25">
      <c r="B62" s="29">
        <f>IF(57&lt;='계산기'!$C$7,57,"")</f>
      </c>
      <c r="C62" s="30">
        <f>IF(B62="","",G61)</f>
      </c>
      <c r="D62" s="30">
        <f>IF(B62="","",C62*'계산기'!$C$12)</f>
      </c>
      <c r="E62" s="30">
        <f>IF(B62="","",IF(B62='계산기'!$C$7,C62,IF('계산기'!$C$8="원리금균등",IF('계산기'!$C$12=0,'계산기'!$C$5/'계산기'!$C$7,PMT('계산기'!$C$12,'계산기'!$C$7,-'계산기'!$C$5))-D62,IF('계산기'!$C$8="원금균등",'계산기'!$C$5/'계산기'!$C$7,0))))</f>
      </c>
      <c r="F62" s="30">
        <f>IF(B62="","",D62+E62)</f>
      </c>
      <c r="G62" s="30">
        <f>IF(B62="","",C62-E62)</f>
      </c>
    </row>
    <row r="63" spans="2:7" x14ac:dyDescent="0.25">
      <c r="B63" s="29">
        <f>IF(58&lt;='계산기'!$C$7,58,"")</f>
      </c>
      <c r="C63" s="30">
        <f>IF(B63="","",G62)</f>
      </c>
      <c r="D63" s="30">
        <f>IF(B63="","",C63*'계산기'!$C$12)</f>
      </c>
      <c r="E63" s="30">
        <f>IF(B63="","",IF(B63='계산기'!$C$7,C63,IF('계산기'!$C$8="원리금균등",IF('계산기'!$C$12=0,'계산기'!$C$5/'계산기'!$C$7,PMT('계산기'!$C$12,'계산기'!$C$7,-'계산기'!$C$5))-D63,IF('계산기'!$C$8="원금균등",'계산기'!$C$5/'계산기'!$C$7,0))))</f>
      </c>
      <c r="F63" s="30">
        <f>IF(B63="","",D63+E63)</f>
      </c>
      <c r="G63" s="30">
        <f>IF(B63="","",C63-E63)</f>
      </c>
    </row>
    <row r="64" spans="2:7" x14ac:dyDescent="0.25">
      <c r="B64" s="29">
        <f>IF(59&lt;='계산기'!$C$7,59,"")</f>
      </c>
      <c r="C64" s="30">
        <f>IF(B64="","",G63)</f>
      </c>
      <c r="D64" s="30">
        <f>IF(B64="","",C64*'계산기'!$C$12)</f>
      </c>
      <c r="E64" s="30">
        <f>IF(B64="","",IF(B64='계산기'!$C$7,C64,IF('계산기'!$C$8="원리금균등",IF('계산기'!$C$12=0,'계산기'!$C$5/'계산기'!$C$7,PMT('계산기'!$C$12,'계산기'!$C$7,-'계산기'!$C$5))-D64,IF('계산기'!$C$8="원금균등",'계산기'!$C$5/'계산기'!$C$7,0))))</f>
      </c>
      <c r="F64" s="30">
        <f>IF(B64="","",D64+E64)</f>
      </c>
      <c r="G64" s="30">
        <f>IF(B64="","",C64-E64)</f>
      </c>
    </row>
    <row r="65" spans="2:7" x14ac:dyDescent="0.25">
      <c r="B65" s="29">
        <f>IF(60&lt;='계산기'!$C$7,60,"")</f>
      </c>
      <c r="C65" s="30">
        <f>IF(B65="","",G64)</f>
      </c>
      <c r="D65" s="30">
        <f>IF(B65="","",C65*'계산기'!$C$12)</f>
      </c>
      <c r="E65" s="30">
        <f>IF(B65="","",IF(B65='계산기'!$C$7,C65,IF('계산기'!$C$8="원리금균등",IF('계산기'!$C$12=0,'계산기'!$C$5/'계산기'!$C$7,PMT('계산기'!$C$12,'계산기'!$C$7,-'계산기'!$C$5))-D65,IF('계산기'!$C$8="원금균등",'계산기'!$C$5/'계산기'!$C$7,0))))</f>
      </c>
      <c r="F65" s="30">
        <f>IF(B65="","",D65+E65)</f>
      </c>
      <c r="G65" s="30">
        <f>IF(B65="","",C65-E65)</f>
      </c>
    </row>
    <row r="66" spans="2:7" x14ac:dyDescent="0.25">
      <c r="B66" s="29">
        <f>IF(61&lt;='계산기'!$C$7,61,"")</f>
      </c>
      <c r="C66" s="30">
        <f>IF(B66="","",G65)</f>
      </c>
      <c r="D66" s="30">
        <f>IF(B66="","",C66*'계산기'!$C$12)</f>
      </c>
      <c r="E66" s="30">
        <f>IF(B66="","",IF(B66='계산기'!$C$7,C66,IF('계산기'!$C$8="원리금균등",IF('계산기'!$C$12=0,'계산기'!$C$5/'계산기'!$C$7,PMT('계산기'!$C$12,'계산기'!$C$7,-'계산기'!$C$5))-D66,IF('계산기'!$C$8="원금균등",'계산기'!$C$5/'계산기'!$C$7,0))))</f>
      </c>
      <c r="F66" s="30">
        <f>IF(B66="","",D66+E66)</f>
      </c>
      <c r="G66" s="30">
        <f>IF(B66="","",C66-E66)</f>
      </c>
    </row>
    <row r="67" spans="2:7" x14ac:dyDescent="0.25">
      <c r="B67" s="29">
        <f>IF(62&lt;='계산기'!$C$7,62,"")</f>
      </c>
      <c r="C67" s="30">
        <f>IF(B67="","",G66)</f>
      </c>
      <c r="D67" s="30">
        <f>IF(B67="","",C67*'계산기'!$C$12)</f>
      </c>
      <c r="E67" s="30">
        <f>IF(B67="","",IF(B67='계산기'!$C$7,C67,IF('계산기'!$C$8="원리금균등",IF('계산기'!$C$12=0,'계산기'!$C$5/'계산기'!$C$7,PMT('계산기'!$C$12,'계산기'!$C$7,-'계산기'!$C$5))-D67,IF('계산기'!$C$8="원금균등",'계산기'!$C$5/'계산기'!$C$7,0))))</f>
      </c>
      <c r="F67" s="30">
        <f>IF(B67="","",D67+E67)</f>
      </c>
      <c r="G67" s="30">
        <f>IF(B67="","",C67-E67)</f>
      </c>
    </row>
    <row r="68" spans="2:7" x14ac:dyDescent="0.25">
      <c r="B68" s="29">
        <f>IF(63&lt;='계산기'!$C$7,63,"")</f>
      </c>
      <c r="C68" s="30">
        <f>IF(B68="","",G67)</f>
      </c>
      <c r="D68" s="30">
        <f>IF(B68="","",C68*'계산기'!$C$12)</f>
      </c>
      <c r="E68" s="30">
        <f>IF(B68="","",IF(B68='계산기'!$C$7,C68,IF('계산기'!$C$8="원리금균등",IF('계산기'!$C$12=0,'계산기'!$C$5/'계산기'!$C$7,PMT('계산기'!$C$12,'계산기'!$C$7,-'계산기'!$C$5))-D68,IF('계산기'!$C$8="원금균등",'계산기'!$C$5/'계산기'!$C$7,0))))</f>
      </c>
      <c r="F68" s="30">
        <f>IF(B68="","",D68+E68)</f>
      </c>
      <c r="G68" s="30">
        <f>IF(B68="","",C68-E68)</f>
      </c>
    </row>
    <row r="69" spans="2:7" x14ac:dyDescent="0.25">
      <c r="B69" s="29">
        <f>IF(64&lt;='계산기'!$C$7,64,"")</f>
      </c>
      <c r="C69" s="30">
        <f>IF(B69="","",G68)</f>
      </c>
      <c r="D69" s="30">
        <f>IF(B69="","",C69*'계산기'!$C$12)</f>
      </c>
      <c r="E69" s="30">
        <f>IF(B69="","",IF(B69='계산기'!$C$7,C69,IF('계산기'!$C$8="원리금균등",IF('계산기'!$C$12=0,'계산기'!$C$5/'계산기'!$C$7,PMT('계산기'!$C$12,'계산기'!$C$7,-'계산기'!$C$5))-D69,IF('계산기'!$C$8="원금균등",'계산기'!$C$5/'계산기'!$C$7,0))))</f>
      </c>
      <c r="F69" s="30">
        <f>IF(B69="","",D69+E69)</f>
      </c>
      <c r="G69" s="30">
        <f>IF(B69="","",C69-E69)</f>
      </c>
    </row>
    <row r="70" spans="2:7" x14ac:dyDescent="0.25">
      <c r="B70" s="29">
        <f>IF(65&lt;='계산기'!$C$7,65,"")</f>
      </c>
      <c r="C70" s="30">
        <f>IF(B70="","",G69)</f>
      </c>
      <c r="D70" s="30">
        <f>IF(B70="","",C70*'계산기'!$C$12)</f>
      </c>
      <c r="E70" s="30">
        <f>IF(B70="","",IF(B70='계산기'!$C$7,C70,IF('계산기'!$C$8="원리금균등",IF('계산기'!$C$12=0,'계산기'!$C$5/'계산기'!$C$7,PMT('계산기'!$C$12,'계산기'!$C$7,-'계산기'!$C$5))-D70,IF('계산기'!$C$8="원금균등",'계산기'!$C$5/'계산기'!$C$7,0))))</f>
      </c>
      <c r="F70" s="30">
        <f>IF(B70="","",D70+E70)</f>
      </c>
      <c r="G70" s="30">
        <f>IF(B70="","",C70-E70)</f>
      </c>
    </row>
    <row r="71" spans="2:7" x14ac:dyDescent="0.25">
      <c r="B71" s="29">
        <f>IF(66&lt;='계산기'!$C$7,66,"")</f>
      </c>
      <c r="C71" s="30">
        <f>IF(B71="","",G70)</f>
      </c>
      <c r="D71" s="30">
        <f>IF(B71="","",C71*'계산기'!$C$12)</f>
      </c>
      <c r="E71" s="30">
        <f>IF(B71="","",IF(B71='계산기'!$C$7,C71,IF('계산기'!$C$8="원리금균등",IF('계산기'!$C$12=0,'계산기'!$C$5/'계산기'!$C$7,PMT('계산기'!$C$12,'계산기'!$C$7,-'계산기'!$C$5))-D71,IF('계산기'!$C$8="원금균등",'계산기'!$C$5/'계산기'!$C$7,0))))</f>
      </c>
      <c r="F71" s="30">
        <f>IF(B71="","",D71+E71)</f>
      </c>
      <c r="G71" s="30">
        <f>IF(B71="","",C71-E71)</f>
      </c>
    </row>
    <row r="72" spans="2:7" x14ac:dyDescent="0.25">
      <c r="B72" s="29">
        <f>IF(67&lt;='계산기'!$C$7,67,"")</f>
      </c>
      <c r="C72" s="30">
        <f>IF(B72="","",G71)</f>
      </c>
      <c r="D72" s="30">
        <f>IF(B72="","",C72*'계산기'!$C$12)</f>
      </c>
      <c r="E72" s="30">
        <f>IF(B72="","",IF(B72='계산기'!$C$7,C72,IF('계산기'!$C$8="원리금균등",IF('계산기'!$C$12=0,'계산기'!$C$5/'계산기'!$C$7,PMT('계산기'!$C$12,'계산기'!$C$7,-'계산기'!$C$5))-D72,IF('계산기'!$C$8="원금균등",'계산기'!$C$5/'계산기'!$C$7,0))))</f>
      </c>
      <c r="F72" s="30">
        <f>IF(B72="","",D72+E72)</f>
      </c>
      <c r="G72" s="30">
        <f>IF(B72="","",C72-E72)</f>
      </c>
    </row>
    <row r="73" spans="2:7" x14ac:dyDescent="0.25">
      <c r="B73" s="29">
        <f>IF(68&lt;='계산기'!$C$7,68,"")</f>
      </c>
      <c r="C73" s="30">
        <f>IF(B73="","",G72)</f>
      </c>
      <c r="D73" s="30">
        <f>IF(B73="","",C73*'계산기'!$C$12)</f>
      </c>
      <c r="E73" s="30">
        <f>IF(B73="","",IF(B73='계산기'!$C$7,C73,IF('계산기'!$C$8="원리금균등",IF('계산기'!$C$12=0,'계산기'!$C$5/'계산기'!$C$7,PMT('계산기'!$C$12,'계산기'!$C$7,-'계산기'!$C$5))-D73,IF('계산기'!$C$8="원금균등",'계산기'!$C$5/'계산기'!$C$7,0))))</f>
      </c>
      <c r="F73" s="30">
        <f>IF(B73="","",D73+E73)</f>
      </c>
      <c r="G73" s="30">
        <f>IF(B73="","",C73-E73)</f>
      </c>
    </row>
    <row r="74" spans="2:7" x14ac:dyDescent="0.25">
      <c r="B74" s="29">
        <f>IF(69&lt;='계산기'!$C$7,69,"")</f>
      </c>
      <c r="C74" s="30">
        <f>IF(B74="","",G73)</f>
      </c>
      <c r="D74" s="30">
        <f>IF(B74="","",C74*'계산기'!$C$12)</f>
      </c>
      <c r="E74" s="30">
        <f>IF(B74="","",IF(B74='계산기'!$C$7,C74,IF('계산기'!$C$8="원리금균등",IF('계산기'!$C$12=0,'계산기'!$C$5/'계산기'!$C$7,PMT('계산기'!$C$12,'계산기'!$C$7,-'계산기'!$C$5))-D74,IF('계산기'!$C$8="원금균등",'계산기'!$C$5/'계산기'!$C$7,0))))</f>
      </c>
      <c r="F74" s="30">
        <f>IF(B74="","",D74+E74)</f>
      </c>
      <c r="G74" s="30">
        <f>IF(B74="","",C74-E74)</f>
      </c>
    </row>
    <row r="75" spans="2:7" x14ac:dyDescent="0.25">
      <c r="B75" s="29">
        <f>IF(70&lt;='계산기'!$C$7,70,"")</f>
      </c>
      <c r="C75" s="30">
        <f>IF(B75="","",G74)</f>
      </c>
      <c r="D75" s="30">
        <f>IF(B75="","",C75*'계산기'!$C$12)</f>
      </c>
      <c r="E75" s="30">
        <f>IF(B75="","",IF(B75='계산기'!$C$7,C75,IF('계산기'!$C$8="원리금균등",IF('계산기'!$C$12=0,'계산기'!$C$5/'계산기'!$C$7,PMT('계산기'!$C$12,'계산기'!$C$7,-'계산기'!$C$5))-D75,IF('계산기'!$C$8="원금균등",'계산기'!$C$5/'계산기'!$C$7,0))))</f>
      </c>
      <c r="F75" s="30">
        <f>IF(B75="","",D75+E75)</f>
      </c>
      <c r="G75" s="30">
        <f>IF(B75="","",C75-E75)</f>
      </c>
    </row>
    <row r="76" spans="2:7" x14ac:dyDescent="0.25">
      <c r="B76" s="29">
        <f>IF(71&lt;='계산기'!$C$7,71,"")</f>
      </c>
      <c r="C76" s="30">
        <f>IF(B76="","",G75)</f>
      </c>
      <c r="D76" s="30">
        <f>IF(B76="","",C76*'계산기'!$C$12)</f>
      </c>
      <c r="E76" s="30">
        <f>IF(B76="","",IF(B76='계산기'!$C$7,C76,IF('계산기'!$C$8="원리금균등",IF('계산기'!$C$12=0,'계산기'!$C$5/'계산기'!$C$7,PMT('계산기'!$C$12,'계산기'!$C$7,-'계산기'!$C$5))-D76,IF('계산기'!$C$8="원금균등",'계산기'!$C$5/'계산기'!$C$7,0))))</f>
      </c>
      <c r="F76" s="30">
        <f>IF(B76="","",D76+E76)</f>
      </c>
      <c r="G76" s="30">
        <f>IF(B76="","",C76-E76)</f>
      </c>
    </row>
    <row r="77" spans="2:7" x14ac:dyDescent="0.25">
      <c r="B77" s="29">
        <f>IF(72&lt;='계산기'!$C$7,72,"")</f>
      </c>
      <c r="C77" s="30">
        <f>IF(B77="","",G76)</f>
      </c>
      <c r="D77" s="30">
        <f>IF(B77="","",C77*'계산기'!$C$12)</f>
      </c>
      <c r="E77" s="30">
        <f>IF(B77="","",IF(B77='계산기'!$C$7,C77,IF('계산기'!$C$8="원리금균등",IF('계산기'!$C$12=0,'계산기'!$C$5/'계산기'!$C$7,PMT('계산기'!$C$12,'계산기'!$C$7,-'계산기'!$C$5))-D77,IF('계산기'!$C$8="원금균등",'계산기'!$C$5/'계산기'!$C$7,0))))</f>
      </c>
      <c r="F77" s="30">
        <f>IF(B77="","",D77+E77)</f>
      </c>
      <c r="G77" s="30">
        <f>IF(B77="","",C77-E77)</f>
      </c>
    </row>
    <row r="78" spans="2:7" x14ac:dyDescent="0.25">
      <c r="B78" s="29">
        <f>IF(73&lt;='계산기'!$C$7,73,"")</f>
      </c>
      <c r="C78" s="30">
        <f>IF(B78="","",G77)</f>
      </c>
      <c r="D78" s="30">
        <f>IF(B78="","",C78*'계산기'!$C$12)</f>
      </c>
      <c r="E78" s="30">
        <f>IF(B78="","",IF(B78='계산기'!$C$7,C78,IF('계산기'!$C$8="원리금균등",IF('계산기'!$C$12=0,'계산기'!$C$5/'계산기'!$C$7,PMT('계산기'!$C$12,'계산기'!$C$7,-'계산기'!$C$5))-D78,IF('계산기'!$C$8="원금균등",'계산기'!$C$5/'계산기'!$C$7,0))))</f>
      </c>
      <c r="F78" s="30">
        <f>IF(B78="","",D78+E78)</f>
      </c>
      <c r="G78" s="30">
        <f>IF(B78="","",C78-E78)</f>
      </c>
    </row>
    <row r="79" spans="2:7" x14ac:dyDescent="0.25">
      <c r="B79" s="29">
        <f>IF(74&lt;='계산기'!$C$7,74,"")</f>
      </c>
      <c r="C79" s="30">
        <f>IF(B79="","",G78)</f>
      </c>
      <c r="D79" s="30">
        <f>IF(B79="","",C79*'계산기'!$C$12)</f>
      </c>
      <c r="E79" s="30">
        <f>IF(B79="","",IF(B79='계산기'!$C$7,C79,IF('계산기'!$C$8="원리금균등",IF('계산기'!$C$12=0,'계산기'!$C$5/'계산기'!$C$7,PMT('계산기'!$C$12,'계산기'!$C$7,-'계산기'!$C$5))-D79,IF('계산기'!$C$8="원금균등",'계산기'!$C$5/'계산기'!$C$7,0))))</f>
      </c>
      <c r="F79" s="30">
        <f>IF(B79="","",D79+E79)</f>
      </c>
      <c r="G79" s="30">
        <f>IF(B79="","",C79-E79)</f>
      </c>
    </row>
    <row r="80" spans="2:7" x14ac:dyDescent="0.25">
      <c r="B80" s="29">
        <f>IF(75&lt;='계산기'!$C$7,75,"")</f>
      </c>
      <c r="C80" s="30">
        <f>IF(B80="","",G79)</f>
      </c>
      <c r="D80" s="30">
        <f>IF(B80="","",C80*'계산기'!$C$12)</f>
      </c>
      <c r="E80" s="30">
        <f>IF(B80="","",IF(B80='계산기'!$C$7,C80,IF('계산기'!$C$8="원리금균등",IF('계산기'!$C$12=0,'계산기'!$C$5/'계산기'!$C$7,PMT('계산기'!$C$12,'계산기'!$C$7,-'계산기'!$C$5))-D80,IF('계산기'!$C$8="원금균등",'계산기'!$C$5/'계산기'!$C$7,0))))</f>
      </c>
      <c r="F80" s="30">
        <f>IF(B80="","",D80+E80)</f>
      </c>
      <c r="G80" s="30">
        <f>IF(B80="","",C80-E80)</f>
      </c>
    </row>
    <row r="81" spans="2:7" x14ac:dyDescent="0.25">
      <c r="B81" s="29">
        <f>IF(76&lt;='계산기'!$C$7,76,"")</f>
      </c>
      <c r="C81" s="30">
        <f>IF(B81="","",G80)</f>
      </c>
      <c r="D81" s="30">
        <f>IF(B81="","",C81*'계산기'!$C$12)</f>
      </c>
      <c r="E81" s="30">
        <f>IF(B81="","",IF(B81='계산기'!$C$7,C81,IF('계산기'!$C$8="원리금균등",IF('계산기'!$C$12=0,'계산기'!$C$5/'계산기'!$C$7,PMT('계산기'!$C$12,'계산기'!$C$7,-'계산기'!$C$5))-D81,IF('계산기'!$C$8="원금균등",'계산기'!$C$5/'계산기'!$C$7,0))))</f>
      </c>
      <c r="F81" s="30">
        <f>IF(B81="","",D81+E81)</f>
      </c>
      <c r="G81" s="30">
        <f>IF(B81="","",C81-E81)</f>
      </c>
    </row>
    <row r="82" spans="2:7" x14ac:dyDescent="0.25">
      <c r="B82" s="29">
        <f>IF(77&lt;='계산기'!$C$7,77,"")</f>
      </c>
      <c r="C82" s="30">
        <f>IF(B82="","",G81)</f>
      </c>
      <c r="D82" s="30">
        <f>IF(B82="","",C82*'계산기'!$C$12)</f>
      </c>
      <c r="E82" s="30">
        <f>IF(B82="","",IF(B82='계산기'!$C$7,C82,IF('계산기'!$C$8="원리금균등",IF('계산기'!$C$12=0,'계산기'!$C$5/'계산기'!$C$7,PMT('계산기'!$C$12,'계산기'!$C$7,-'계산기'!$C$5))-D82,IF('계산기'!$C$8="원금균등",'계산기'!$C$5/'계산기'!$C$7,0))))</f>
      </c>
      <c r="F82" s="30">
        <f>IF(B82="","",D82+E82)</f>
      </c>
      <c r="G82" s="30">
        <f>IF(B82="","",C82-E82)</f>
      </c>
    </row>
    <row r="83" spans="2:7" x14ac:dyDescent="0.25">
      <c r="B83" s="29">
        <f>IF(78&lt;='계산기'!$C$7,78,"")</f>
      </c>
      <c r="C83" s="30">
        <f>IF(B83="","",G82)</f>
      </c>
      <c r="D83" s="30">
        <f>IF(B83="","",C83*'계산기'!$C$12)</f>
      </c>
      <c r="E83" s="30">
        <f>IF(B83="","",IF(B83='계산기'!$C$7,C83,IF('계산기'!$C$8="원리금균등",IF('계산기'!$C$12=0,'계산기'!$C$5/'계산기'!$C$7,PMT('계산기'!$C$12,'계산기'!$C$7,-'계산기'!$C$5))-D83,IF('계산기'!$C$8="원금균등",'계산기'!$C$5/'계산기'!$C$7,0))))</f>
      </c>
      <c r="F83" s="30">
        <f>IF(B83="","",D83+E83)</f>
      </c>
      <c r="G83" s="30">
        <f>IF(B83="","",C83-E83)</f>
      </c>
    </row>
    <row r="84" spans="2:7" x14ac:dyDescent="0.25">
      <c r="B84" s="29">
        <f>IF(79&lt;='계산기'!$C$7,79,"")</f>
      </c>
      <c r="C84" s="30">
        <f>IF(B84="","",G83)</f>
      </c>
      <c r="D84" s="30">
        <f>IF(B84="","",C84*'계산기'!$C$12)</f>
      </c>
      <c r="E84" s="30">
        <f>IF(B84="","",IF(B84='계산기'!$C$7,C84,IF('계산기'!$C$8="원리금균등",IF('계산기'!$C$12=0,'계산기'!$C$5/'계산기'!$C$7,PMT('계산기'!$C$12,'계산기'!$C$7,-'계산기'!$C$5))-D84,IF('계산기'!$C$8="원금균등",'계산기'!$C$5/'계산기'!$C$7,0))))</f>
      </c>
      <c r="F84" s="30">
        <f>IF(B84="","",D84+E84)</f>
      </c>
      <c r="G84" s="30">
        <f>IF(B84="","",C84-E84)</f>
      </c>
    </row>
    <row r="85" spans="2:7" x14ac:dyDescent="0.25">
      <c r="B85" s="29">
        <f>IF(80&lt;='계산기'!$C$7,80,"")</f>
      </c>
      <c r="C85" s="30">
        <f>IF(B85="","",G84)</f>
      </c>
      <c r="D85" s="30">
        <f>IF(B85="","",C85*'계산기'!$C$12)</f>
      </c>
      <c r="E85" s="30">
        <f>IF(B85="","",IF(B85='계산기'!$C$7,C85,IF('계산기'!$C$8="원리금균등",IF('계산기'!$C$12=0,'계산기'!$C$5/'계산기'!$C$7,PMT('계산기'!$C$12,'계산기'!$C$7,-'계산기'!$C$5))-D85,IF('계산기'!$C$8="원금균등",'계산기'!$C$5/'계산기'!$C$7,0))))</f>
      </c>
      <c r="F85" s="30">
        <f>IF(B85="","",D85+E85)</f>
      </c>
      <c r="G85" s="30">
        <f>IF(B85="","",C85-E85)</f>
      </c>
    </row>
    <row r="86" spans="2:7" x14ac:dyDescent="0.25">
      <c r="B86" s="29">
        <f>IF(81&lt;='계산기'!$C$7,81,"")</f>
      </c>
      <c r="C86" s="30">
        <f>IF(B86="","",G85)</f>
      </c>
      <c r="D86" s="30">
        <f>IF(B86="","",C86*'계산기'!$C$12)</f>
      </c>
      <c r="E86" s="30">
        <f>IF(B86="","",IF(B86='계산기'!$C$7,C86,IF('계산기'!$C$8="원리금균등",IF('계산기'!$C$12=0,'계산기'!$C$5/'계산기'!$C$7,PMT('계산기'!$C$12,'계산기'!$C$7,-'계산기'!$C$5))-D86,IF('계산기'!$C$8="원금균등",'계산기'!$C$5/'계산기'!$C$7,0))))</f>
      </c>
      <c r="F86" s="30">
        <f>IF(B86="","",D86+E86)</f>
      </c>
      <c r="G86" s="30">
        <f>IF(B86="","",C86-E86)</f>
      </c>
    </row>
    <row r="87" spans="2:7" x14ac:dyDescent="0.25">
      <c r="B87" s="29">
        <f>IF(82&lt;='계산기'!$C$7,82,"")</f>
      </c>
      <c r="C87" s="30">
        <f>IF(B87="","",G86)</f>
      </c>
      <c r="D87" s="30">
        <f>IF(B87="","",C87*'계산기'!$C$12)</f>
      </c>
      <c r="E87" s="30">
        <f>IF(B87="","",IF(B87='계산기'!$C$7,C87,IF('계산기'!$C$8="원리금균등",IF('계산기'!$C$12=0,'계산기'!$C$5/'계산기'!$C$7,PMT('계산기'!$C$12,'계산기'!$C$7,-'계산기'!$C$5))-D87,IF('계산기'!$C$8="원금균등",'계산기'!$C$5/'계산기'!$C$7,0))))</f>
      </c>
      <c r="F87" s="30">
        <f>IF(B87="","",D87+E87)</f>
      </c>
      <c r="G87" s="30">
        <f>IF(B87="","",C87-E87)</f>
      </c>
    </row>
    <row r="88" spans="2:7" x14ac:dyDescent="0.25">
      <c r="B88" s="29">
        <f>IF(83&lt;='계산기'!$C$7,83,"")</f>
      </c>
      <c r="C88" s="30">
        <f>IF(B88="","",G87)</f>
      </c>
      <c r="D88" s="30">
        <f>IF(B88="","",C88*'계산기'!$C$12)</f>
      </c>
      <c r="E88" s="30">
        <f>IF(B88="","",IF(B88='계산기'!$C$7,C88,IF('계산기'!$C$8="원리금균등",IF('계산기'!$C$12=0,'계산기'!$C$5/'계산기'!$C$7,PMT('계산기'!$C$12,'계산기'!$C$7,-'계산기'!$C$5))-D88,IF('계산기'!$C$8="원금균등",'계산기'!$C$5/'계산기'!$C$7,0))))</f>
      </c>
      <c r="F88" s="30">
        <f>IF(B88="","",D88+E88)</f>
      </c>
      <c r="G88" s="30">
        <f>IF(B88="","",C88-E88)</f>
      </c>
    </row>
    <row r="89" spans="2:7" x14ac:dyDescent="0.25">
      <c r="B89" s="29">
        <f>IF(84&lt;='계산기'!$C$7,84,"")</f>
      </c>
      <c r="C89" s="30">
        <f>IF(B89="","",G88)</f>
      </c>
      <c r="D89" s="30">
        <f>IF(B89="","",C89*'계산기'!$C$12)</f>
      </c>
      <c r="E89" s="30">
        <f>IF(B89="","",IF(B89='계산기'!$C$7,C89,IF('계산기'!$C$8="원리금균등",IF('계산기'!$C$12=0,'계산기'!$C$5/'계산기'!$C$7,PMT('계산기'!$C$12,'계산기'!$C$7,-'계산기'!$C$5))-D89,IF('계산기'!$C$8="원금균등",'계산기'!$C$5/'계산기'!$C$7,0))))</f>
      </c>
      <c r="F89" s="30">
        <f>IF(B89="","",D89+E89)</f>
      </c>
      <c r="G89" s="30">
        <f>IF(B89="","",C89-E89)</f>
      </c>
    </row>
    <row r="90" spans="2:7" x14ac:dyDescent="0.25">
      <c r="B90" s="29">
        <f>IF(85&lt;='계산기'!$C$7,85,"")</f>
      </c>
      <c r="C90" s="30">
        <f>IF(B90="","",G89)</f>
      </c>
      <c r="D90" s="30">
        <f>IF(B90="","",C90*'계산기'!$C$12)</f>
      </c>
      <c r="E90" s="30">
        <f>IF(B90="","",IF(B90='계산기'!$C$7,C90,IF('계산기'!$C$8="원리금균등",IF('계산기'!$C$12=0,'계산기'!$C$5/'계산기'!$C$7,PMT('계산기'!$C$12,'계산기'!$C$7,-'계산기'!$C$5))-D90,IF('계산기'!$C$8="원금균등",'계산기'!$C$5/'계산기'!$C$7,0))))</f>
      </c>
      <c r="F90" s="30">
        <f>IF(B90="","",D90+E90)</f>
      </c>
      <c r="G90" s="30">
        <f>IF(B90="","",C90-E90)</f>
      </c>
    </row>
    <row r="91" spans="2:7" x14ac:dyDescent="0.25">
      <c r="B91" s="29">
        <f>IF(86&lt;='계산기'!$C$7,86,"")</f>
      </c>
      <c r="C91" s="30">
        <f>IF(B91="","",G90)</f>
      </c>
      <c r="D91" s="30">
        <f>IF(B91="","",C91*'계산기'!$C$12)</f>
      </c>
      <c r="E91" s="30">
        <f>IF(B91="","",IF(B91='계산기'!$C$7,C91,IF('계산기'!$C$8="원리금균등",IF('계산기'!$C$12=0,'계산기'!$C$5/'계산기'!$C$7,PMT('계산기'!$C$12,'계산기'!$C$7,-'계산기'!$C$5))-D91,IF('계산기'!$C$8="원금균등",'계산기'!$C$5/'계산기'!$C$7,0))))</f>
      </c>
      <c r="F91" s="30">
        <f>IF(B91="","",D91+E91)</f>
      </c>
      <c r="G91" s="30">
        <f>IF(B91="","",C91-E91)</f>
      </c>
    </row>
    <row r="92" spans="2:7" x14ac:dyDescent="0.25">
      <c r="B92" s="29">
        <f>IF(87&lt;='계산기'!$C$7,87,"")</f>
      </c>
      <c r="C92" s="30">
        <f>IF(B92="","",G91)</f>
      </c>
      <c r="D92" s="30">
        <f>IF(B92="","",C92*'계산기'!$C$12)</f>
      </c>
      <c r="E92" s="30">
        <f>IF(B92="","",IF(B92='계산기'!$C$7,C92,IF('계산기'!$C$8="원리금균등",IF('계산기'!$C$12=0,'계산기'!$C$5/'계산기'!$C$7,PMT('계산기'!$C$12,'계산기'!$C$7,-'계산기'!$C$5))-D92,IF('계산기'!$C$8="원금균등",'계산기'!$C$5/'계산기'!$C$7,0))))</f>
      </c>
      <c r="F92" s="30">
        <f>IF(B92="","",D92+E92)</f>
      </c>
      <c r="G92" s="30">
        <f>IF(B92="","",C92-E92)</f>
      </c>
    </row>
    <row r="93" spans="2:7" x14ac:dyDescent="0.25">
      <c r="B93" s="29">
        <f>IF(88&lt;='계산기'!$C$7,88,"")</f>
      </c>
      <c r="C93" s="30">
        <f>IF(B93="","",G92)</f>
      </c>
      <c r="D93" s="30">
        <f>IF(B93="","",C93*'계산기'!$C$12)</f>
      </c>
      <c r="E93" s="30">
        <f>IF(B93="","",IF(B93='계산기'!$C$7,C93,IF('계산기'!$C$8="원리금균등",IF('계산기'!$C$12=0,'계산기'!$C$5/'계산기'!$C$7,PMT('계산기'!$C$12,'계산기'!$C$7,-'계산기'!$C$5))-D93,IF('계산기'!$C$8="원금균등",'계산기'!$C$5/'계산기'!$C$7,0))))</f>
      </c>
      <c r="F93" s="30">
        <f>IF(B93="","",D93+E93)</f>
      </c>
      <c r="G93" s="30">
        <f>IF(B93="","",C93-E93)</f>
      </c>
    </row>
    <row r="94" spans="2:7" x14ac:dyDescent="0.25">
      <c r="B94" s="29">
        <f>IF(89&lt;='계산기'!$C$7,89,"")</f>
      </c>
      <c r="C94" s="30">
        <f>IF(B94="","",G93)</f>
      </c>
      <c r="D94" s="30">
        <f>IF(B94="","",C94*'계산기'!$C$12)</f>
      </c>
      <c r="E94" s="30">
        <f>IF(B94="","",IF(B94='계산기'!$C$7,C94,IF('계산기'!$C$8="원리금균등",IF('계산기'!$C$12=0,'계산기'!$C$5/'계산기'!$C$7,PMT('계산기'!$C$12,'계산기'!$C$7,-'계산기'!$C$5))-D94,IF('계산기'!$C$8="원금균등",'계산기'!$C$5/'계산기'!$C$7,0))))</f>
      </c>
      <c r="F94" s="30">
        <f>IF(B94="","",D94+E94)</f>
      </c>
      <c r="G94" s="30">
        <f>IF(B94="","",C94-E94)</f>
      </c>
    </row>
    <row r="95" spans="2:7" x14ac:dyDescent="0.25">
      <c r="B95" s="29">
        <f>IF(90&lt;='계산기'!$C$7,90,"")</f>
      </c>
      <c r="C95" s="30">
        <f>IF(B95="","",G94)</f>
      </c>
      <c r="D95" s="30">
        <f>IF(B95="","",C95*'계산기'!$C$12)</f>
      </c>
      <c r="E95" s="30">
        <f>IF(B95="","",IF(B95='계산기'!$C$7,C95,IF('계산기'!$C$8="원리금균등",IF('계산기'!$C$12=0,'계산기'!$C$5/'계산기'!$C$7,PMT('계산기'!$C$12,'계산기'!$C$7,-'계산기'!$C$5))-D95,IF('계산기'!$C$8="원금균등",'계산기'!$C$5/'계산기'!$C$7,0))))</f>
      </c>
      <c r="F95" s="30">
        <f>IF(B95="","",D95+E95)</f>
      </c>
      <c r="G95" s="30">
        <f>IF(B95="","",C95-E95)</f>
      </c>
    </row>
    <row r="96" spans="2:7" x14ac:dyDescent="0.25">
      <c r="B96" s="29">
        <f>IF(91&lt;='계산기'!$C$7,91,"")</f>
      </c>
      <c r="C96" s="30">
        <f>IF(B96="","",G95)</f>
      </c>
      <c r="D96" s="30">
        <f>IF(B96="","",C96*'계산기'!$C$12)</f>
      </c>
      <c r="E96" s="30">
        <f>IF(B96="","",IF(B96='계산기'!$C$7,C96,IF('계산기'!$C$8="원리금균등",IF('계산기'!$C$12=0,'계산기'!$C$5/'계산기'!$C$7,PMT('계산기'!$C$12,'계산기'!$C$7,-'계산기'!$C$5))-D96,IF('계산기'!$C$8="원금균등",'계산기'!$C$5/'계산기'!$C$7,0))))</f>
      </c>
      <c r="F96" s="30">
        <f>IF(B96="","",D96+E96)</f>
      </c>
      <c r="G96" s="30">
        <f>IF(B96="","",C96-E96)</f>
      </c>
    </row>
    <row r="97" spans="2:7" x14ac:dyDescent="0.25">
      <c r="B97" s="29">
        <f>IF(92&lt;='계산기'!$C$7,92,"")</f>
      </c>
      <c r="C97" s="30">
        <f>IF(B97="","",G96)</f>
      </c>
      <c r="D97" s="30">
        <f>IF(B97="","",C97*'계산기'!$C$12)</f>
      </c>
      <c r="E97" s="30">
        <f>IF(B97="","",IF(B97='계산기'!$C$7,C97,IF('계산기'!$C$8="원리금균등",IF('계산기'!$C$12=0,'계산기'!$C$5/'계산기'!$C$7,PMT('계산기'!$C$12,'계산기'!$C$7,-'계산기'!$C$5))-D97,IF('계산기'!$C$8="원금균등",'계산기'!$C$5/'계산기'!$C$7,0))))</f>
      </c>
      <c r="F97" s="30">
        <f>IF(B97="","",D97+E97)</f>
      </c>
      <c r="G97" s="30">
        <f>IF(B97="","",C97-E97)</f>
      </c>
    </row>
    <row r="98" spans="2:7" x14ac:dyDescent="0.25">
      <c r="B98" s="29">
        <f>IF(93&lt;='계산기'!$C$7,93,"")</f>
      </c>
      <c r="C98" s="30">
        <f>IF(B98="","",G97)</f>
      </c>
      <c r="D98" s="30">
        <f>IF(B98="","",C98*'계산기'!$C$12)</f>
      </c>
      <c r="E98" s="30">
        <f>IF(B98="","",IF(B98='계산기'!$C$7,C98,IF('계산기'!$C$8="원리금균등",IF('계산기'!$C$12=0,'계산기'!$C$5/'계산기'!$C$7,PMT('계산기'!$C$12,'계산기'!$C$7,-'계산기'!$C$5))-D98,IF('계산기'!$C$8="원금균등",'계산기'!$C$5/'계산기'!$C$7,0))))</f>
      </c>
      <c r="F98" s="30">
        <f>IF(B98="","",D98+E98)</f>
      </c>
      <c r="G98" s="30">
        <f>IF(B98="","",C98-E98)</f>
      </c>
    </row>
    <row r="99" spans="2:7" x14ac:dyDescent="0.25">
      <c r="B99" s="29">
        <f>IF(94&lt;='계산기'!$C$7,94,"")</f>
      </c>
      <c r="C99" s="30">
        <f>IF(B99="","",G98)</f>
      </c>
      <c r="D99" s="30">
        <f>IF(B99="","",C99*'계산기'!$C$12)</f>
      </c>
      <c r="E99" s="30">
        <f>IF(B99="","",IF(B99='계산기'!$C$7,C99,IF('계산기'!$C$8="원리금균등",IF('계산기'!$C$12=0,'계산기'!$C$5/'계산기'!$C$7,PMT('계산기'!$C$12,'계산기'!$C$7,-'계산기'!$C$5))-D99,IF('계산기'!$C$8="원금균등",'계산기'!$C$5/'계산기'!$C$7,0))))</f>
      </c>
      <c r="F99" s="30">
        <f>IF(B99="","",D99+E99)</f>
      </c>
      <c r="G99" s="30">
        <f>IF(B99="","",C99-E99)</f>
      </c>
    </row>
    <row r="100" spans="2:7" x14ac:dyDescent="0.25">
      <c r="B100" s="29">
        <f>IF(95&lt;='계산기'!$C$7,95,"")</f>
      </c>
      <c r="C100" s="30">
        <f>IF(B100="","",G99)</f>
      </c>
      <c r="D100" s="30">
        <f>IF(B100="","",C100*'계산기'!$C$12)</f>
      </c>
      <c r="E100" s="30">
        <f>IF(B100="","",IF(B100='계산기'!$C$7,C100,IF('계산기'!$C$8="원리금균등",IF('계산기'!$C$12=0,'계산기'!$C$5/'계산기'!$C$7,PMT('계산기'!$C$12,'계산기'!$C$7,-'계산기'!$C$5))-D100,IF('계산기'!$C$8="원금균등",'계산기'!$C$5/'계산기'!$C$7,0))))</f>
      </c>
      <c r="F100" s="30">
        <f>IF(B100="","",D100+E100)</f>
      </c>
      <c r="G100" s="30">
        <f>IF(B100="","",C100-E100)</f>
      </c>
    </row>
    <row r="101" spans="2:7" x14ac:dyDescent="0.25">
      <c r="B101" s="29">
        <f>IF(96&lt;='계산기'!$C$7,96,"")</f>
      </c>
      <c r="C101" s="30">
        <f>IF(B101="","",G100)</f>
      </c>
      <c r="D101" s="30">
        <f>IF(B101="","",C101*'계산기'!$C$12)</f>
      </c>
      <c r="E101" s="30">
        <f>IF(B101="","",IF(B101='계산기'!$C$7,C101,IF('계산기'!$C$8="원리금균등",IF('계산기'!$C$12=0,'계산기'!$C$5/'계산기'!$C$7,PMT('계산기'!$C$12,'계산기'!$C$7,-'계산기'!$C$5))-D101,IF('계산기'!$C$8="원금균등",'계산기'!$C$5/'계산기'!$C$7,0))))</f>
      </c>
      <c r="F101" s="30">
        <f>IF(B101="","",D101+E101)</f>
      </c>
      <c r="G101" s="30">
        <f>IF(B101="","",C101-E101)</f>
      </c>
    </row>
    <row r="102" spans="2:7" x14ac:dyDescent="0.25">
      <c r="B102" s="29">
        <f>IF(97&lt;='계산기'!$C$7,97,"")</f>
      </c>
      <c r="C102" s="30">
        <f>IF(B102="","",G101)</f>
      </c>
      <c r="D102" s="30">
        <f>IF(B102="","",C102*'계산기'!$C$12)</f>
      </c>
      <c r="E102" s="30">
        <f>IF(B102="","",IF(B102='계산기'!$C$7,C102,IF('계산기'!$C$8="원리금균등",IF('계산기'!$C$12=0,'계산기'!$C$5/'계산기'!$C$7,PMT('계산기'!$C$12,'계산기'!$C$7,-'계산기'!$C$5))-D102,IF('계산기'!$C$8="원금균등",'계산기'!$C$5/'계산기'!$C$7,0))))</f>
      </c>
      <c r="F102" s="30">
        <f>IF(B102="","",D102+E102)</f>
      </c>
      <c r="G102" s="30">
        <f>IF(B102="","",C102-E102)</f>
      </c>
    </row>
    <row r="103" spans="2:7" x14ac:dyDescent="0.25">
      <c r="B103" s="29">
        <f>IF(98&lt;='계산기'!$C$7,98,"")</f>
      </c>
      <c r="C103" s="30">
        <f>IF(B103="","",G102)</f>
      </c>
      <c r="D103" s="30">
        <f>IF(B103="","",C103*'계산기'!$C$12)</f>
      </c>
      <c r="E103" s="30">
        <f>IF(B103="","",IF(B103='계산기'!$C$7,C103,IF('계산기'!$C$8="원리금균등",IF('계산기'!$C$12=0,'계산기'!$C$5/'계산기'!$C$7,PMT('계산기'!$C$12,'계산기'!$C$7,-'계산기'!$C$5))-D103,IF('계산기'!$C$8="원금균등",'계산기'!$C$5/'계산기'!$C$7,0))))</f>
      </c>
      <c r="F103" s="30">
        <f>IF(B103="","",D103+E103)</f>
      </c>
      <c r="G103" s="30">
        <f>IF(B103="","",C103-E103)</f>
      </c>
    </row>
    <row r="104" spans="2:7" x14ac:dyDescent="0.25">
      <c r="B104" s="29">
        <f>IF(99&lt;='계산기'!$C$7,99,"")</f>
      </c>
      <c r="C104" s="30">
        <f>IF(B104="","",G103)</f>
      </c>
      <c r="D104" s="30">
        <f>IF(B104="","",C104*'계산기'!$C$12)</f>
      </c>
      <c r="E104" s="30">
        <f>IF(B104="","",IF(B104='계산기'!$C$7,C104,IF('계산기'!$C$8="원리금균등",IF('계산기'!$C$12=0,'계산기'!$C$5/'계산기'!$C$7,PMT('계산기'!$C$12,'계산기'!$C$7,-'계산기'!$C$5))-D104,IF('계산기'!$C$8="원금균등",'계산기'!$C$5/'계산기'!$C$7,0))))</f>
      </c>
      <c r="F104" s="30">
        <f>IF(B104="","",D104+E104)</f>
      </c>
      <c r="G104" s="30">
        <f>IF(B104="","",C104-E104)</f>
      </c>
    </row>
    <row r="105" spans="2:7" x14ac:dyDescent="0.25">
      <c r="B105" s="29">
        <f>IF(100&lt;='계산기'!$C$7,100,"")</f>
      </c>
      <c r="C105" s="30">
        <f>IF(B105="","",G104)</f>
      </c>
      <c r="D105" s="30">
        <f>IF(B105="","",C105*'계산기'!$C$12)</f>
      </c>
      <c r="E105" s="30">
        <f>IF(B105="","",IF(B105='계산기'!$C$7,C105,IF('계산기'!$C$8="원리금균등",IF('계산기'!$C$12=0,'계산기'!$C$5/'계산기'!$C$7,PMT('계산기'!$C$12,'계산기'!$C$7,-'계산기'!$C$5))-D105,IF('계산기'!$C$8="원금균등",'계산기'!$C$5/'계산기'!$C$7,0))))</f>
      </c>
      <c r="F105" s="30">
        <f>IF(B105="","",D105+E105)</f>
      </c>
      <c r="G105" s="30">
        <f>IF(B105="","",C105-E105)</f>
      </c>
    </row>
    <row r="106" spans="2:7" x14ac:dyDescent="0.25">
      <c r="B106" s="29">
        <f>IF(101&lt;='계산기'!$C$7,101,"")</f>
      </c>
      <c r="C106" s="30">
        <f>IF(B106="","",G105)</f>
      </c>
      <c r="D106" s="30">
        <f>IF(B106="","",C106*'계산기'!$C$12)</f>
      </c>
      <c r="E106" s="30">
        <f>IF(B106="","",IF(B106='계산기'!$C$7,C106,IF('계산기'!$C$8="원리금균등",IF('계산기'!$C$12=0,'계산기'!$C$5/'계산기'!$C$7,PMT('계산기'!$C$12,'계산기'!$C$7,-'계산기'!$C$5))-D106,IF('계산기'!$C$8="원금균등",'계산기'!$C$5/'계산기'!$C$7,0))))</f>
      </c>
      <c r="F106" s="30">
        <f>IF(B106="","",D106+E106)</f>
      </c>
      <c r="G106" s="30">
        <f>IF(B106="","",C106-E106)</f>
      </c>
    </row>
    <row r="107" spans="2:7" x14ac:dyDescent="0.25">
      <c r="B107" s="29">
        <f>IF(102&lt;='계산기'!$C$7,102,"")</f>
      </c>
      <c r="C107" s="30">
        <f>IF(B107="","",G106)</f>
      </c>
      <c r="D107" s="30">
        <f>IF(B107="","",C107*'계산기'!$C$12)</f>
      </c>
      <c r="E107" s="30">
        <f>IF(B107="","",IF(B107='계산기'!$C$7,C107,IF('계산기'!$C$8="원리금균등",IF('계산기'!$C$12=0,'계산기'!$C$5/'계산기'!$C$7,PMT('계산기'!$C$12,'계산기'!$C$7,-'계산기'!$C$5))-D107,IF('계산기'!$C$8="원금균등",'계산기'!$C$5/'계산기'!$C$7,0))))</f>
      </c>
      <c r="F107" s="30">
        <f>IF(B107="","",D107+E107)</f>
      </c>
      <c r="G107" s="30">
        <f>IF(B107="","",C107-E107)</f>
      </c>
    </row>
    <row r="108" spans="2:7" x14ac:dyDescent="0.25">
      <c r="B108" s="29">
        <f>IF(103&lt;='계산기'!$C$7,103,"")</f>
      </c>
      <c r="C108" s="30">
        <f>IF(B108="","",G107)</f>
      </c>
      <c r="D108" s="30">
        <f>IF(B108="","",C108*'계산기'!$C$12)</f>
      </c>
      <c r="E108" s="30">
        <f>IF(B108="","",IF(B108='계산기'!$C$7,C108,IF('계산기'!$C$8="원리금균등",IF('계산기'!$C$12=0,'계산기'!$C$5/'계산기'!$C$7,PMT('계산기'!$C$12,'계산기'!$C$7,-'계산기'!$C$5))-D108,IF('계산기'!$C$8="원금균등",'계산기'!$C$5/'계산기'!$C$7,0))))</f>
      </c>
      <c r="F108" s="30">
        <f>IF(B108="","",D108+E108)</f>
      </c>
      <c r="G108" s="30">
        <f>IF(B108="","",C108-E108)</f>
      </c>
    </row>
    <row r="109" spans="2:7" x14ac:dyDescent="0.25">
      <c r="B109" s="29">
        <f>IF(104&lt;='계산기'!$C$7,104,"")</f>
      </c>
      <c r="C109" s="30">
        <f>IF(B109="","",G108)</f>
      </c>
      <c r="D109" s="30">
        <f>IF(B109="","",C109*'계산기'!$C$12)</f>
      </c>
      <c r="E109" s="30">
        <f>IF(B109="","",IF(B109='계산기'!$C$7,C109,IF('계산기'!$C$8="원리금균등",IF('계산기'!$C$12=0,'계산기'!$C$5/'계산기'!$C$7,PMT('계산기'!$C$12,'계산기'!$C$7,-'계산기'!$C$5))-D109,IF('계산기'!$C$8="원금균등",'계산기'!$C$5/'계산기'!$C$7,0))))</f>
      </c>
      <c r="F109" s="30">
        <f>IF(B109="","",D109+E109)</f>
      </c>
      <c r="G109" s="30">
        <f>IF(B109="","",C109-E109)</f>
      </c>
    </row>
    <row r="110" spans="2:7" x14ac:dyDescent="0.25">
      <c r="B110" s="29">
        <f>IF(105&lt;='계산기'!$C$7,105,"")</f>
      </c>
      <c r="C110" s="30">
        <f>IF(B110="","",G109)</f>
      </c>
      <c r="D110" s="30">
        <f>IF(B110="","",C110*'계산기'!$C$12)</f>
      </c>
      <c r="E110" s="30">
        <f>IF(B110="","",IF(B110='계산기'!$C$7,C110,IF('계산기'!$C$8="원리금균등",IF('계산기'!$C$12=0,'계산기'!$C$5/'계산기'!$C$7,PMT('계산기'!$C$12,'계산기'!$C$7,-'계산기'!$C$5))-D110,IF('계산기'!$C$8="원금균등",'계산기'!$C$5/'계산기'!$C$7,0))))</f>
      </c>
      <c r="F110" s="30">
        <f>IF(B110="","",D110+E110)</f>
      </c>
      <c r="G110" s="30">
        <f>IF(B110="","",C110-E110)</f>
      </c>
    </row>
    <row r="111" spans="2:7" x14ac:dyDescent="0.25">
      <c r="B111" s="29">
        <f>IF(106&lt;='계산기'!$C$7,106,"")</f>
      </c>
      <c r="C111" s="30">
        <f>IF(B111="","",G110)</f>
      </c>
      <c r="D111" s="30">
        <f>IF(B111="","",C111*'계산기'!$C$12)</f>
      </c>
      <c r="E111" s="30">
        <f>IF(B111="","",IF(B111='계산기'!$C$7,C111,IF('계산기'!$C$8="원리금균등",IF('계산기'!$C$12=0,'계산기'!$C$5/'계산기'!$C$7,PMT('계산기'!$C$12,'계산기'!$C$7,-'계산기'!$C$5))-D111,IF('계산기'!$C$8="원금균등",'계산기'!$C$5/'계산기'!$C$7,0))))</f>
      </c>
      <c r="F111" s="30">
        <f>IF(B111="","",D111+E111)</f>
      </c>
      <c r="G111" s="30">
        <f>IF(B111="","",C111-E111)</f>
      </c>
    </row>
    <row r="112" spans="2:7" x14ac:dyDescent="0.25">
      <c r="B112" s="29">
        <f>IF(107&lt;='계산기'!$C$7,107,"")</f>
      </c>
      <c r="C112" s="30">
        <f>IF(B112="","",G111)</f>
      </c>
      <c r="D112" s="30">
        <f>IF(B112="","",C112*'계산기'!$C$12)</f>
      </c>
      <c r="E112" s="30">
        <f>IF(B112="","",IF(B112='계산기'!$C$7,C112,IF('계산기'!$C$8="원리금균등",IF('계산기'!$C$12=0,'계산기'!$C$5/'계산기'!$C$7,PMT('계산기'!$C$12,'계산기'!$C$7,-'계산기'!$C$5))-D112,IF('계산기'!$C$8="원금균등",'계산기'!$C$5/'계산기'!$C$7,0))))</f>
      </c>
      <c r="F112" s="30">
        <f>IF(B112="","",D112+E112)</f>
      </c>
      <c r="G112" s="30">
        <f>IF(B112="","",C112-E112)</f>
      </c>
    </row>
    <row r="113" spans="2:7" x14ac:dyDescent="0.25">
      <c r="B113" s="29">
        <f>IF(108&lt;='계산기'!$C$7,108,"")</f>
      </c>
      <c r="C113" s="30">
        <f>IF(B113="","",G112)</f>
      </c>
      <c r="D113" s="30">
        <f>IF(B113="","",C113*'계산기'!$C$12)</f>
      </c>
      <c r="E113" s="30">
        <f>IF(B113="","",IF(B113='계산기'!$C$7,C113,IF('계산기'!$C$8="원리금균등",IF('계산기'!$C$12=0,'계산기'!$C$5/'계산기'!$C$7,PMT('계산기'!$C$12,'계산기'!$C$7,-'계산기'!$C$5))-D113,IF('계산기'!$C$8="원금균등",'계산기'!$C$5/'계산기'!$C$7,0))))</f>
      </c>
      <c r="F113" s="30">
        <f>IF(B113="","",D113+E113)</f>
      </c>
      <c r="G113" s="30">
        <f>IF(B113="","",C113-E113)</f>
      </c>
    </row>
    <row r="114" spans="2:7" x14ac:dyDescent="0.25">
      <c r="B114" s="29">
        <f>IF(109&lt;='계산기'!$C$7,109,"")</f>
      </c>
      <c r="C114" s="30">
        <f>IF(B114="","",G113)</f>
      </c>
      <c r="D114" s="30">
        <f>IF(B114="","",C114*'계산기'!$C$12)</f>
      </c>
      <c r="E114" s="30">
        <f>IF(B114="","",IF(B114='계산기'!$C$7,C114,IF('계산기'!$C$8="원리금균등",IF('계산기'!$C$12=0,'계산기'!$C$5/'계산기'!$C$7,PMT('계산기'!$C$12,'계산기'!$C$7,-'계산기'!$C$5))-D114,IF('계산기'!$C$8="원금균등",'계산기'!$C$5/'계산기'!$C$7,0))))</f>
      </c>
      <c r="F114" s="30">
        <f>IF(B114="","",D114+E114)</f>
      </c>
      <c r="G114" s="30">
        <f>IF(B114="","",C114-E114)</f>
      </c>
    </row>
    <row r="115" spans="2:7" x14ac:dyDescent="0.25">
      <c r="B115" s="29">
        <f>IF(110&lt;='계산기'!$C$7,110,"")</f>
      </c>
      <c r="C115" s="30">
        <f>IF(B115="","",G114)</f>
      </c>
      <c r="D115" s="30">
        <f>IF(B115="","",C115*'계산기'!$C$12)</f>
      </c>
      <c r="E115" s="30">
        <f>IF(B115="","",IF(B115='계산기'!$C$7,C115,IF('계산기'!$C$8="원리금균등",IF('계산기'!$C$12=0,'계산기'!$C$5/'계산기'!$C$7,PMT('계산기'!$C$12,'계산기'!$C$7,-'계산기'!$C$5))-D115,IF('계산기'!$C$8="원금균등",'계산기'!$C$5/'계산기'!$C$7,0))))</f>
      </c>
      <c r="F115" s="30">
        <f>IF(B115="","",D115+E115)</f>
      </c>
      <c r="G115" s="30">
        <f>IF(B115="","",C115-E115)</f>
      </c>
    </row>
    <row r="116" spans="2:7" x14ac:dyDescent="0.25">
      <c r="B116" s="29">
        <f>IF(111&lt;='계산기'!$C$7,111,"")</f>
      </c>
      <c r="C116" s="30">
        <f>IF(B116="","",G115)</f>
      </c>
      <c r="D116" s="30">
        <f>IF(B116="","",C116*'계산기'!$C$12)</f>
      </c>
      <c r="E116" s="30">
        <f>IF(B116="","",IF(B116='계산기'!$C$7,C116,IF('계산기'!$C$8="원리금균등",IF('계산기'!$C$12=0,'계산기'!$C$5/'계산기'!$C$7,PMT('계산기'!$C$12,'계산기'!$C$7,-'계산기'!$C$5))-D116,IF('계산기'!$C$8="원금균등",'계산기'!$C$5/'계산기'!$C$7,0))))</f>
      </c>
      <c r="F116" s="30">
        <f>IF(B116="","",D116+E116)</f>
      </c>
      <c r="G116" s="30">
        <f>IF(B116="","",C116-E116)</f>
      </c>
    </row>
    <row r="117" spans="2:7" x14ac:dyDescent="0.25">
      <c r="B117" s="29">
        <f>IF(112&lt;='계산기'!$C$7,112,"")</f>
      </c>
      <c r="C117" s="30">
        <f>IF(B117="","",G116)</f>
      </c>
      <c r="D117" s="30">
        <f>IF(B117="","",C117*'계산기'!$C$12)</f>
      </c>
      <c r="E117" s="30">
        <f>IF(B117="","",IF(B117='계산기'!$C$7,C117,IF('계산기'!$C$8="원리금균등",IF('계산기'!$C$12=0,'계산기'!$C$5/'계산기'!$C$7,PMT('계산기'!$C$12,'계산기'!$C$7,-'계산기'!$C$5))-D117,IF('계산기'!$C$8="원금균등",'계산기'!$C$5/'계산기'!$C$7,0))))</f>
      </c>
      <c r="F117" s="30">
        <f>IF(B117="","",D117+E117)</f>
      </c>
      <c r="G117" s="30">
        <f>IF(B117="","",C117-E117)</f>
      </c>
    </row>
    <row r="118" spans="2:7" x14ac:dyDescent="0.25">
      <c r="B118" s="29">
        <f>IF(113&lt;='계산기'!$C$7,113,"")</f>
      </c>
      <c r="C118" s="30">
        <f>IF(B118="","",G117)</f>
      </c>
      <c r="D118" s="30">
        <f>IF(B118="","",C118*'계산기'!$C$12)</f>
      </c>
      <c r="E118" s="30">
        <f>IF(B118="","",IF(B118='계산기'!$C$7,C118,IF('계산기'!$C$8="원리금균등",IF('계산기'!$C$12=0,'계산기'!$C$5/'계산기'!$C$7,PMT('계산기'!$C$12,'계산기'!$C$7,-'계산기'!$C$5))-D118,IF('계산기'!$C$8="원금균등",'계산기'!$C$5/'계산기'!$C$7,0))))</f>
      </c>
      <c r="F118" s="30">
        <f>IF(B118="","",D118+E118)</f>
      </c>
      <c r="G118" s="30">
        <f>IF(B118="","",C118-E118)</f>
      </c>
    </row>
    <row r="119" spans="2:7" x14ac:dyDescent="0.25">
      <c r="B119" s="29">
        <f>IF(114&lt;='계산기'!$C$7,114,"")</f>
      </c>
      <c r="C119" s="30">
        <f>IF(B119="","",G118)</f>
      </c>
      <c r="D119" s="30">
        <f>IF(B119="","",C119*'계산기'!$C$12)</f>
      </c>
      <c r="E119" s="30">
        <f>IF(B119="","",IF(B119='계산기'!$C$7,C119,IF('계산기'!$C$8="원리금균등",IF('계산기'!$C$12=0,'계산기'!$C$5/'계산기'!$C$7,PMT('계산기'!$C$12,'계산기'!$C$7,-'계산기'!$C$5))-D119,IF('계산기'!$C$8="원금균등",'계산기'!$C$5/'계산기'!$C$7,0))))</f>
      </c>
      <c r="F119" s="30">
        <f>IF(B119="","",D119+E119)</f>
      </c>
      <c r="G119" s="30">
        <f>IF(B119="","",C119-E119)</f>
      </c>
    </row>
    <row r="120" spans="2:7" x14ac:dyDescent="0.25">
      <c r="B120" s="29">
        <f>IF(115&lt;='계산기'!$C$7,115,"")</f>
      </c>
      <c r="C120" s="30">
        <f>IF(B120="","",G119)</f>
      </c>
      <c r="D120" s="30">
        <f>IF(B120="","",C120*'계산기'!$C$12)</f>
      </c>
      <c r="E120" s="30">
        <f>IF(B120="","",IF(B120='계산기'!$C$7,C120,IF('계산기'!$C$8="원리금균등",IF('계산기'!$C$12=0,'계산기'!$C$5/'계산기'!$C$7,PMT('계산기'!$C$12,'계산기'!$C$7,-'계산기'!$C$5))-D120,IF('계산기'!$C$8="원금균등",'계산기'!$C$5/'계산기'!$C$7,0))))</f>
      </c>
      <c r="F120" s="30">
        <f>IF(B120="","",D120+E120)</f>
      </c>
      <c r="G120" s="30">
        <f>IF(B120="","",C120-E120)</f>
      </c>
    </row>
    <row r="121" spans="2:7" x14ac:dyDescent="0.25">
      <c r="B121" s="29">
        <f>IF(116&lt;='계산기'!$C$7,116,"")</f>
      </c>
      <c r="C121" s="30">
        <f>IF(B121="","",G120)</f>
      </c>
      <c r="D121" s="30">
        <f>IF(B121="","",C121*'계산기'!$C$12)</f>
      </c>
      <c r="E121" s="30">
        <f>IF(B121="","",IF(B121='계산기'!$C$7,C121,IF('계산기'!$C$8="원리금균등",IF('계산기'!$C$12=0,'계산기'!$C$5/'계산기'!$C$7,PMT('계산기'!$C$12,'계산기'!$C$7,-'계산기'!$C$5))-D121,IF('계산기'!$C$8="원금균등",'계산기'!$C$5/'계산기'!$C$7,0))))</f>
      </c>
      <c r="F121" s="30">
        <f>IF(B121="","",D121+E121)</f>
      </c>
      <c r="G121" s="30">
        <f>IF(B121="","",C121-E121)</f>
      </c>
    </row>
    <row r="122" spans="2:7" x14ac:dyDescent="0.25">
      <c r="B122" s="29">
        <f>IF(117&lt;='계산기'!$C$7,117,"")</f>
      </c>
      <c r="C122" s="30">
        <f>IF(B122="","",G121)</f>
      </c>
      <c r="D122" s="30">
        <f>IF(B122="","",C122*'계산기'!$C$12)</f>
      </c>
      <c r="E122" s="30">
        <f>IF(B122="","",IF(B122='계산기'!$C$7,C122,IF('계산기'!$C$8="원리금균등",IF('계산기'!$C$12=0,'계산기'!$C$5/'계산기'!$C$7,PMT('계산기'!$C$12,'계산기'!$C$7,-'계산기'!$C$5))-D122,IF('계산기'!$C$8="원금균등",'계산기'!$C$5/'계산기'!$C$7,0))))</f>
      </c>
      <c r="F122" s="30">
        <f>IF(B122="","",D122+E122)</f>
      </c>
      <c r="G122" s="30">
        <f>IF(B122="","",C122-E122)</f>
      </c>
    </row>
    <row r="123" spans="2:7" x14ac:dyDescent="0.25">
      <c r="B123" s="29">
        <f>IF(118&lt;='계산기'!$C$7,118,"")</f>
      </c>
      <c r="C123" s="30">
        <f>IF(B123="","",G122)</f>
      </c>
      <c r="D123" s="30">
        <f>IF(B123="","",C123*'계산기'!$C$12)</f>
      </c>
      <c r="E123" s="30">
        <f>IF(B123="","",IF(B123='계산기'!$C$7,C123,IF('계산기'!$C$8="원리금균등",IF('계산기'!$C$12=0,'계산기'!$C$5/'계산기'!$C$7,PMT('계산기'!$C$12,'계산기'!$C$7,-'계산기'!$C$5))-D123,IF('계산기'!$C$8="원금균등",'계산기'!$C$5/'계산기'!$C$7,0))))</f>
      </c>
      <c r="F123" s="30">
        <f>IF(B123="","",D123+E123)</f>
      </c>
      <c r="G123" s="30">
        <f>IF(B123="","",C123-E123)</f>
      </c>
    </row>
    <row r="124" spans="2:7" x14ac:dyDescent="0.25">
      <c r="B124" s="29">
        <f>IF(119&lt;='계산기'!$C$7,119,"")</f>
      </c>
      <c r="C124" s="30">
        <f>IF(B124="","",G123)</f>
      </c>
      <c r="D124" s="30">
        <f>IF(B124="","",C124*'계산기'!$C$12)</f>
      </c>
      <c r="E124" s="30">
        <f>IF(B124="","",IF(B124='계산기'!$C$7,C124,IF('계산기'!$C$8="원리금균등",IF('계산기'!$C$12=0,'계산기'!$C$5/'계산기'!$C$7,PMT('계산기'!$C$12,'계산기'!$C$7,-'계산기'!$C$5))-D124,IF('계산기'!$C$8="원금균등",'계산기'!$C$5/'계산기'!$C$7,0))))</f>
      </c>
      <c r="F124" s="30">
        <f>IF(B124="","",D124+E124)</f>
      </c>
      <c r="G124" s="30">
        <f>IF(B124="","",C124-E124)</f>
      </c>
    </row>
    <row r="125" spans="2:7" x14ac:dyDescent="0.25">
      <c r="B125" s="29">
        <f>IF(120&lt;='계산기'!$C$7,120,"")</f>
      </c>
      <c r="C125" s="30">
        <f>IF(B125="","",G124)</f>
      </c>
      <c r="D125" s="30">
        <f>IF(B125="","",C125*'계산기'!$C$12)</f>
      </c>
      <c r="E125" s="30">
        <f>IF(B125="","",IF(B125='계산기'!$C$7,C125,IF('계산기'!$C$8="원리금균등",IF('계산기'!$C$12=0,'계산기'!$C$5/'계산기'!$C$7,PMT('계산기'!$C$12,'계산기'!$C$7,-'계산기'!$C$5))-D125,IF('계산기'!$C$8="원금균등",'계산기'!$C$5/'계산기'!$C$7,0))))</f>
      </c>
      <c r="F125" s="30">
        <f>IF(B125="","",D125+E125)</f>
      </c>
      <c r="G125" s="30">
        <f>IF(B125="","",C125-E125)</f>
      </c>
    </row>
    <row r="126" spans="2:7" x14ac:dyDescent="0.25">
      <c r="B126" s="29">
        <f>IF(121&lt;='계산기'!$C$7,121,"")</f>
      </c>
      <c r="C126" s="30">
        <f>IF(B126="","",G125)</f>
      </c>
      <c r="D126" s="30">
        <f>IF(B126="","",C126*'계산기'!$C$12)</f>
      </c>
      <c r="E126" s="30">
        <f>IF(B126="","",IF(B126='계산기'!$C$7,C126,IF('계산기'!$C$8="원리금균등",IF('계산기'!$C$12=0,'계산기'!$C$5/'계산기'!$C$7,PMT('계산기'!$C$12,'계산기'!$C$7,-'계산기'!$C$5))-D126,IF('계산기'!$C$8="원금균등",'계산기'!$C$5/'계산기'!$C$7,0))))</f>
      </c>
      <c r="F126" s="30">
        <f>IF(B126="","",D126+E126)</f>
      </c>
      <c r="G126" s="30">
        <f>IF(B126="","",C126-E126)</f>
      </c>
    </row>
    <row r="127" spans="2:7" x14ac:dyDescent="0.25">
      <c r="B127" s="29">
        <f>IF(122&lt;='계산기'!$C$7,122,"")</f>
      </c>
      <c r="C127" s="30">
        <f>IF(B127="","",G126)</f>
      </c>
      <c r="D127" s="30">
        <f>IF(B127="","",C127*'계산기'!$C$12)</f>
      </c>
      <c r="E127" s="30">
        <f>IF(B127="","",IF(B127='계산기'!$C$7,C127,IF('계산기'!$C$8="원리금균등",IF('계산기'!$C$12=0,'계산기'!$C$5/'계산기'!$C$7,PMT('계산기'!$C$12,'계산기'!$C$7,-'계산기'!$C$5))-D127,IF('계산기'!$C$8="원금균등",'계산기'!$C$5/'계산기'!$C$7,0))))</f>
      </c>
      <c r="F127" s="30">
        <f>IF(B127="","",D127+E127)</f>
      </c>
      <c r="G127" s="30">
        <f>IF(B127="","",C127-E127)</f>
      </c>
    </row>
    <row r="128" spans="2:7" x14ac:dyDescent="0.25">
      <c r="B128" s="29">
        <f>IF(123&lt;='계산기'!$C$7,123,"")</f>
      </c>
      <c r="C128" s="30">
        <f>IF(B128="","",G127)</f>
      </c>
      <c r="D128" s="30">
        <f>IF(B128="","",C128*'계산기'!$C$12)</f>
      </c>
      <c r="E128" s="30">
        <f>IF(B128="","",IF(B128='계산기'!$C$7,C128,IF('계산기'!$C$8="원리금균등",IF('계산기'!$C$12=0,'계산기'!$C$5/'계산기'!$C$7,PMT('계산기'!$C$12,'계산기'!$C$7,-'계산기'!$C$5))-D128,IF('계산기'!$C$8="원금균등",'계산기'!$C$5/'계산기'!$C$7,0))))</f>
      </c>
      <c r="F128" s="30">
        <f>IF(B128="","",D128+E128)</f>
      </c>
      <c r="G128" s="30">
        <f>IF(B128="","",C128-E128)</f>
      </c>
    </row>
    <row r="129" spans="2:7" x14ac:dyDescent="0.25">
      <c r="B129" s="29">
        <f>IF(124&lt;='계산기'!$C$7,124,"")</f>
      </c>
      <c r="C129" s="30">
        <f>IF(B129="","",G128)</f>
      </c>
      <c r="D129" s="30">
        <f>IF(B129="","",C129*'계산기'!$C$12)</f>
      </c>
      <c r="E129" s="30">
        <f>IF(B129="","",IF(B129='계산기'!$C$7,C129,IF('계산기'!$C$8="원리금균등",IF('계산기'!$C$12=0,'계산기'!$C$5/'계산기'!$C$7,PMT('계산기'!$C$12,'계산기'!$C$7,-'계산기'!$C$5))-D129,IF('계산기'!$C$8="원금균등",'계산기'!$C$5/'계산기'!$C$7,0))))</f>
      </c>
      <c r="F129" s="30">
        <f>IF(B129="","",D129+E129)</f>
      </c>
      <c r="G129" s="30">
        <f>IF(B129="","",C129-E129)</f>
      </c>
    </row>
    <row r="130" spans="2:7" x14ac:dyDescent="0.25">
      <c r="B130" s="29">
        <f>IF(125&lt;='계산기'!$C$7,125,"")</f>
      </c>
      <c r="C130" s="30">
        <f>IF(B130="","",G129)</f>
      </c>
      <c r="D130" s="30">
        <f>IF(B130="","",C130*'계산기'!$C$12)</f>
      </c>
      <c r="E130" s="30">
        <f>IF(B130="","",IF(B130='계산기'!$C$7,C130,IF('계산기'!$C$8="원리금균등",IF('계산기'!$C$12=0,'계산기'!$C$5/'계산기'!$C$7,PMT('계산기'!$C$12,'계산기'!$C$7,-'계산기'!$C$5))-D130,IF('계산기'!$C$8="원금균등",'계산기'!$C$5/'계산기'!$C$7,0))))</f>
      </c>
      <c r="F130" s="30">
        <f>IF(B130="","",D130+E130)</f>
      </c>
      <c r="G130" s="30">
        <f>IF(B130="","",C130-E130)</f>
      </c>
    </row>
    <row r="131" spans="2:7" x14ac:dyDescent="0.25">
      <c r="B131" s="29">
        <f>IF(126&lt;='계산기'!$C$7,126,"")</f>
      </c>
      <c r="C131" s="30">
        <f>IF(B131="","",G130)</f>
      </c>
      <c r="D131" s="30">
        <f>IF(B131="","",C131*'계산기'!$C$12)</f>
      </c>
      <c r="E131" s="30">
        <f>IF(B131="","",IF(B131='계산기'!$C$7,C131,IF('계산기'!$C$8="원리금균등",IF('계산기'!$C$12=0,'계산기'!$C$5/'계산기'!$C$7,PMT('계산기'!$C$12,'계산기'!$C$7,-'계산기'!$C$5))-D131,IF('계산기'!$C$8="원금균등",'계산기'!$C$5/'계산기'!$C$7,0))))</f>
      </c>
      <c r="F131" s="30">
        <f>IF(B131="","",D131+E131)</f>
      </c>
      <c r="G131" s="30">
        <f>IF(B131="","",C131-E131)</f>
      </c>
    </row>
    <row r="132" spans="2:7" x14ac:dyDescent="0.25">
      <c r="B132" s="29">
        <f>IF(127&lt;='계산기'!$C$7,127,"")</f>
      </c>
      <c r="C132" s="30">
        <f>IF(B132="","",G131)</f>
      </c>
      <c r="D132" s="30">
        <f>IF(B132="","",C132*'계산기'!$C$12)</f>
      </c>
      <c r="E132" s="30">
        <f>IF(B132="","",IF(B132='계산기'!$C$7,C132,IF('계산기'!$C$8="원리금균등",IF('계산기'!$C$12=0,'계산기'!$C$5/'계산기'!$C$7,PMT('계산기'!$C$12,'계산기'!$C$7,-'계산기'!$C$5))-D132,IF('계산기'!$C$8="원금균등",'계산기'!$C$5/'계산기'!$C$7,0))))</f>
      </c>
      <c r="F132" s="30">
        <f>IF(B132="","",D132+E132)</f>
      </c>
      <c r="G132" s="30">
        <f>IF(B132="","",C132-E132)</f>
      </c>
    </row>
    <row r="133" spans="2:7" x14ac:dyDescent="0.25">
      <c r="B133" s="29">
        <f>IF(128&lt;='계산기'!$C$7,128,"")</f>
      </c>
      <c r="C133" s="30">
        <f>IF(B133="","",G132)</f>
      </c>
      <c r="D133" s="30">
        <f>IF(B133="","",C133*'계산기'!$C$12)</f>
      </c>
      <c r="E133" s="30">
        <f>IF(B133="","",IF(B133='계산기'!$C$7,C133,IF('계산기'!$C$8="원리금균등",IF('계산기'!$C$12=0,'계산기'!$C$5/'계산기'!$C$7,PMT('계산기'!$C$12,'계산기'!$C$7,-'계산기'!$C$5))-D133,IF('계산기'!$C$8="원금균등",'계산기'!$C$5/'계산기'!$C$7,0))))</f>
      </c>
      <c r="F133" s="30">
        <f>IF(B133="","",D133+E133)</f>
      </c>
      <c r="G133" s="30">
        <f>IF(B133="","",C133-E133)</f>
      </c>
    </row>
    <row r="134" spans="2:7" x14ac:dyDescent="0.25">
      <c r="B134" s="29">
        <f>IF(129&lt;='계산기'!$C$7,129,"")</f>
      </c>
      <c r="C134" s="30">
        <f>IF(B134="","",G133)</f>
      </c>
      <c r="D134" s="30">
        <f>IF(B134="","",C134*'계산기'!$C$12)</f>
      </c>
      <c r="E134" s="30">
        <f>IF(B134="","",IF(B134='계산기'!$C$7,C134,IF('계산기'!$C$8="원리금균등",IF('계산기'!$C$12=0,'계산기'!$C$5/'계산기'!$C$7,PMT('계산기'!$C$12,'계산기'!$C$7,-'계산기'!$C$5))-D134,IF('계산기'!$C$8="원금균등",'계산기'!$C$5/'계산기'!$C$7,0))))</f>
      </c>
      <c r="F134" s="30">
        <f>IF(B134="","",D134+E134)</f>
      </c>
      <c r="G134" s="30">
        <f>IF(B134="","",C134-E134)</f>
      </c>
    </row>
    <row r="135" spans="2:7" x14ac:dyDescent="0.25">
      <c r="B135" s="29">
        <f>IF(130&lt;='계산기'!$C$7,130,"")</f>
      </c>
      <c r="C135" s="30">
        <f>IF(B135="","",G134)</f>
      </c>
      <c r="D135" s="30">
        <f>IF(B135="","",C135*'계산기'!$C$12)</f>
      </c>
      <c r="E135" s="30">
        <f>IF(B135="","",IF(B135='계산기'!$C$7,C135,IF('계산기'!$C$8="원리금균등",IF('계산기'!$C$12=0,'계산기'!$C$5/'계산기'!$C$7,PMT('계산기'!$C$12,'계산기'!$C$7,-'계산기'!$C$5))-D135,IF('계산기'!$C$8="원금균등",'계산기'!$C$5/'계산기'!$C$7,0))))</f>
      </c>
      <c r="F135" s="30">
        <f>IF(B135="","",D135+E135)</f>
      </c>
      <c r="G135" s="30">
        <f>IF(B135="","",C135-E135)</f>
      </c>
    </row>
    <row r="136" spans="2:7" x14ac:dyDescent="0.25">
      <c r="B136" s="29">
        <f>IF(131&lt;='계산기'!$C$7,131,"")</f>
      </c>
      <c r="C136" s="30">
        <f>IF(B136="","",G135)</f>
      </c>
      <c r="D136" s="30">
        <f>IF(B136="","",C136*'계산기'!$C$12)</f>
      </c>
      <c r="E136" s="30">
        <f>IF(B136="","",IF(B136='계산기'!$C$7,C136,IF('계산기'!$C$8="원리금균등",IF('계산기'!$C$12=0,'계산기'!$C$5/'계산기'!$C$7,PMT('계산기'!$C$12,'계산기'!$C$7,-'계산기'!$C$5))-D136,IF('계산기'!$C$8="원금균등",'계산기'!$C$5/'계산기'!$C$7,0))))</f>
      </c>
      <c r="F136" s="30">
        <f>IF(B136="","",D136+E136)</f>
      </c>
      <c r="G136" s="30">
        <f>IF(B136="","",C136-E136)</f>
      </c>
    </row>
    <row r="137" spans="2:7" x14ac:dyDescent="0.25">
      <c r="B137" s="29">
        <f>IF(132&lt;='계산기'!$C$7,132,"")</f>
      </c>
      <c r="C137" s="30">
        <f>IF(B137="","",G136)</f>
      </c>
      <c r="D137" s="30">
        <f>IF(B137="","",C137*'계산기'!$C$12)</f>
      </c>
      <c r="E137" s="30">
        <f>IF(B137="","",IF(B137='계산기'!$C$7,C137,IF('계산기'!$C$8="원리금균등",IF('계산기'!$C$12=0,'계산기'!$C$5/'계산기'!$C$7,PMT('계산기'!$C$12,'계산기'!$C$7,-'계산기'!$C$5))-D137,IF('계산기'!$C$8="원금균등",'계산기'!$C$5/'계산기'!$C$7,0))))</f>
      </c>
      <c r="F137" s="30">
        <f>IF(B137="","",D137+E137)</f>
      </c>
      <c r="G137" s="30">
        <f>IF(B137="","",C137-E137)</f>
      </c>
    </row>
    <row r="138" spans="2:7" x14ac:dyDescent="0.25">
      <c r="B138" s="29">
        <f>IF(133&lt;='계산기'!$C$7,133,"")</f>
      </c>
      <c r="C138" s="30">
        <f>IF(B138="","",G137)</f>
      </c>
      <c r="D138" s="30">
        <f>IF(B138="","",C138*'계산기'!$C$12)</f>
      </c>
      <c r="E138" s="30">
        <f>IF(B138="","",IF(B138='계산기'!$C$7,C138,IF('계산기'!$C$8="원리금균등",IF('계산기'!$C$12=0,'계산기'!$C$5/'계산기'!$C$7,PMT('계산기'!$C$12,'계산기'!$C$7,-'계산기'!$C$5))-D138,IF('계산기'!$C$8="원금균등",'계산기'!$C$5/'계산기'!$C$7,0))))</f>
      </c>
      <c r="F138" s="30">
        <f>IF(B138="","",D138+E138)</f>
      </c>
      <c r="G138" s="30">
        <f>IF(B138="","",C138-E138)</f>
      </c>
    </row>
    <row r="139" spans="2:7" x14ac:dyDescent="0.25">
      <c r="B139" s="29">
        <f>IF(134&lt;='계산기'!$C$7,134,"")</f>
      </c>
      <c r="C139" s="30">
        <f>IF(B139="","",G138)</f>
      </c>
      <c r="D139" s="30">
        <f>IF(B139="","",C139*'계산기'!$C$12)</f>
      </c>
      <c r="E139" s="30">
        <f>IF(B139="","",IF(B139='계산기'!$C$7,C139,IF('계산기'!$C$8="원리금균등",IF('계산기'!$C$12=0,'계산기'!$C$5/'계산기'!$C$7,PMT('계산기'!$C$12,'계산기'!$C$7,-'계산기'!$C$5))-D139,IF('계산기'!$C$8="원금균등",'계산기'!$C$5/'계산기'!$C$7,0))))</f>
      </c>
      <c r="F139" s="30">
        <f>IF(B139="","",D139+E139)</f>
      </c>
      <c r="G139" s="30">
        <f>IF(B139="","",C139-E139)</f>
      </c>
    </row>
    <row r="140" spans="2:7" x14ac:dyDescent="0.25">
      <c r="B140" s="29">
        <f>IF(135&lt;='계산기'!$C$7,135,"")</f>
      </c>
      <c r="C140" s="30">
        <f>IF(B140="","",G139)</f>
      </c>
      <c r="D140" s="30">
        <f>IF(B140="","",C140*'계산기'!$C$12)</f>
      </c>
      <c r="E140" s="30">
        <f>IF(B140="","",IF(B140='계산기'!$C$7,C140,IF('계산기'!$C$8="원리금균등",IF('계산기'!$C$12=0,'계산기'!$C$5/'계산기'!$C$7,PMT('계산기'!$C$12,'계산기'!$C$7,-'계산기'!$C$5))-D140,IF('계산기'!$C$8="원금균등",'계산기'!$C$5/'계산기'!$C$7,0))))</f>
      </c>
      <c r="F140" s="30">
        <f>IF(B140="","",D140+E140)</f>
      </c>
      <c r="G140" s="30">
        <f>IF(B140="","",C140-E140)</f>
      </c>
    </row>
    <row r="141" spans="2:7" x14ac:dyDescent="0.25">
      <c r="B141" s="29">
        <f>IF(136&lt;='계산기'!$C$7,136,"")</f>
      </c>
      <c r="C141" s="30">
        <f>IF(B141="","",G140)</f>
      </c>
      <c r="D141" s="30">
        <f>IF(B141="","",C141*'계산기'!$C$12)</f>
      </c>
      <c r="E141" s="30">
        <f>IF(B141="","",IF(B141='계산기'!$C$7,C141,IF('계산기'!$C$8="원리금균등",IF('계산기'!$C$12=0,'계산기'!$C$5/'계산기'!$C$7,PMT('계산기'!$C$12,'계산기'!$C$7,-'계산기'!$C$5))-D141,IF('계산기'!$C$8="원금균등",'계산기'!$C$5/'계산기'!$C$7,0))))</f>
      </c>
      <c r="F141" s="30">
        <f>IF(B141="","",D141+E141)</f>
      </c>
      <c r="G141" s="30">
        <f>IF(B141="","",C141-E141)</f>
      </c>
    </row>
    <row r="142" spans="2:7" x14ac:dyDescent="0.25">
      <c r="B142" s="29">
        <f>IF(137&lt;='계산기'!$C$7,137,"")</f>
      </c>
      <c r="C142" s="30">
        <f>IF(B142="","",G141)</f>
      </c>
      <c r="D142" s="30">
        <f>IF(B142="","",C142*'계산기'!$C$12)</f>
      </c>
      <c r="E142" s="30">
        <f>IF(B142="","",IF(B142='계산기'!$C$7,C142,IF('계산기'!$C$8="원리금균등",IF('계산기'!$C$12=0,'계산기'!$C$5/'계산기'!$C$7,PMT('계산기'!$C$12,'계산기'!$C$7,-'계산기'!$C$5))-D142,IF('계산기'!$C$8="원금균등",'계산기'!$C$5/'계산기'!$C$7,0))))</f>
      </c>
      <c r="F142" s="30">
        <f>IF(B142="","",D142+E142)</f>
      </c>
      <c r="G142" s="30">
        <f>IF(B142="","",C142-E142)</f>
      </c>
    </row>
    <row r="143" spans="2:7" x14ac:dyDescent="0.25">
      <c r="B143" s="29">
        <f>IF(138&lt;='계산기'!$C$7,138,"")</f>
      </c>
      <c r="C143" s="30">
        <f>IF(B143="","",G142)</f>
      </c>
      <c r="D143" s="30">
        <f>IF(B143="","",C143*'계산기'!$C$12)</f>
      </c>
      <c r="E143" s="30">
        <f>IF(B143="","",IF(B143='계산기'!$C$7,C143,IF('계산기'!$C$8="원리금균등",IF('계산기'!$C$12=0,'계산기'!$C$5/'계산기'!$C$7,PMT('계산기'!$C$12,'계산기'!$C$7,-'계산기'!$C$5))-D143,IF('계산기'!$C$8="원금균등",'계산기'!$C$5/'계산기'!$C$7,0))))</f>
      </c>
      <c r="F143" s="30">
        <f>IF(B143="","",D143+E143)</f>
      </c>
      <c r="G143" s="30">
        <f>IF(B143="","",C143-E143)</f>
      </c>
    </row>
    <row r="144" spans="2:7" x14ac:dyDescent="0.25">
      <c r="B144" s="29">
        <f>IF(139&lt;='계산기'!$C$7,139,"")</f>
      </c>
      <c r="C144" s="30">
        <f>IF(B144="","",G143)</f>
      </c>
      <c r="D144" s="30">
        <f>IF(B144="","",C144*'계산기'!$C$12)</f>
      </c>
      <c r="E144" s="30">
        <f>IF(B144="","",IF(B144='계산기'!$C$7,C144,IF('계산기'!$C$8="원리금균등",IF('계산기'!$C$12=0,'계산기'!$C$5/'계산기'!$C$7,PMT('계산기'!$C$12,'계산기'!$C$7,-'계산기'!$C$5))-D144,IF('계산기'!$C$8="원금균등",'계산기'!$C$5/'계산기'!$C$7,0))))</f>
      </c>
      <c r="F144" s="30">
        <f>IF(B144="","",D144+E144)</f>
      </c>
      <c r="G144" s="30">
        <f>IF(B144="","",C144-E144)</f>
      </c>
    </row>
    <row r="145" spans="2:7" x14ac:dyDescent="0.25">
      <c r="B145" s="29">
        <f>IF(140&lt;='계산기'!$C$7,140,"")</f>
      </c>
      <c r="C145" s="30">
        <f>IF(B145="","",G144)</f>
      </c>
      <c r="D145" s="30">
        <f>IF(B145="","",C145*'계산기'!$C$12)</f>
      </c>
      <c r="E145" s="30">
        <f>IF(B145="","",IF(B145='계산기'!$C$7,C145,IF('계산기'!$C$8="원리금균등",IF('계산기'!$C$12=0,'계산기'!$C$5/'계산기'!$C$7,PMT('계산기'!$C$12,'계산기'!$C$7,-'계산기'!$C$5))-D145,IF('계산기'!$C$8="원금균등",'계산기'!$C$5/'계산기'!$C$7,0))))</f>
      </c>
      <c r="F145" s="30">
        <f>IF(B145="","",D145+E145)</f>
      </c>
      <c r="G145" s="30">
        <f>IF(B145="","",C145-E145)</f>
      </c>
    </row>
    <row r="146" spans="2:7" x14ac:dyDescent="0.25">
      <c r="B146" s="29">
        <f>IF(141&lt;='계산기'!$C$7,141,"")</f>
      </c>
      <c r="C146" s="30">
        <f>IF(B146="","",G145)</f>
      </c>
      <c r="D146" s="30">
        <f>IF(B146="","",C146*'계산기'!$C$12)</f>
      </c>
      <c r="E146" s="30">
        <f>IF(B146="","",IF(B146='계산기'!$C$7,C146,IF('계산기'!$C$8="원리금균등",IF('계산기'!$C$12=0,'계산기'!$C$5/'계산기'!$C$7,PMT('계산기'!$C$12,'계산기'!$C$7,-'계산기'!$C$5))-D146,IF('계산기'!$C$8="원금균등",'계산기'!$C$5/'계산기'!$C$7,0))))</f>
      </c>
      <c r="F146" s="30">
        <f>IF(B146="","",D146+E146)</f>
      </c>
      <c r="G146" s="30">
        <f>IF(B146="","",C146-E146)</f>
      </c>
    </row>
    <row r="147" spans="2:7" x14ac:dyDescent="0.25">
      <c r="B147" s="29">
        <f>IF(142&lt;='계산기'!$C$7,142,"")</f>
      </c>
      <c r="C147" s="30">
        <f>IF(B147="","",G146)</f>
      </c>
      <c r="D147" s="30">
        <f>IF(B147="","",C147*'계산기'!$C$12)</f>
      </c>
      <c r="E147" s="30">
        <f>IF(B147="","",IF(B147='계산기'!$C$7,C147,IF('계산기'!$C$8="원리금균등",IF('계산기'!$C$12=0,'계산기'!$C$5/'계산기'!$C$7,PMT('계산기'!$C$12,'계산기'!$C$7,-'계산기'!$C$5))-D147,IF('계산기'!$C$8="원금균등",'계산기'!$C$5/'계산기'!$C$7,0))))</f>
      </c>
      <c r="F147" s="30">
        <f>IF(B147="","",D147+E147)</f>
      </c>
      <c r="G147" s="30">
        <f>IF(B147="","",C147-E147)</f>
      </c>
    </row>
    <row r="148" spans="2:7" x14ac:dyDescent="0.25">
      <c r="B148" s="29">
        <f>IF(143&lt;='계산기'!$C$7,143,"")</f>
      </c>
      <c r="C148" s="30">
        <f>IF(B148="","",G147)</f>
      </c>
      <c r="D148" s="30">
        <f>IF(B148="","",C148*'계산기'!$C$12)</f>
      </c>
      <c r="E148" s="30">
        <f>IF(B148="","",IF(B148='계산기'!$C$7,C148,IF('계산기'!$C$8="원리금균등",IF('계산기'!$C$12=0,'계산기'!$C$5/'계산기'!$C$7,PMT('계산기'!$C$12,'계산기'!$C$7,-'계산기'!$C$5))-D148,IF('계산기'!$C$8="원금균등",'계산기'!$C$5/'계산기'!$C$7,0))))</f>
      </c>
      <c r="F148" s="30">
        <f>IF(B148="","",D148+E148)</f>
      </c>
      <c r="G148" s="30">
        <f>IF(B148="","",C148-E148)</f>
      </c>
    </row>
    <row r="149" spans="2:7" x14ac:dyDescent="0.25">
      <c r="B149" s="29">
        <f>IF(144&lt;='계산기'!$C$7,144,"")</f>
      </c>
      <c r="C149" s="30">
        <f>IF(B149="","",G148)</f>
      </c>
      <c r="D149" s="30">
        <f>IF(B149="","",C149*'계산기'!$C$12)</f>
      </c>
      <c r="E149" s="30">
        <f>IF(B149="","",IF(B149='계산기'!$C$7,C149,IF('계산기'!$C$8="원리금균등",IF('계산기'!$C$12=0,'계산기'!$C$5/'계산기'!$C$7,PMT('계산기'!$C$12,'계산기'!$C$7,-'계산기'!$C$5))-D149,IF('계산기'!$C$8="원금균등",'계산기'!$C$5/'계산기'!$C$7,0))))</f>
      </c>
      <c r="F149" s="30">
        <f>IF(B149="","",D149+E149)</f>
      </c>
      <c r="G149" s="30">
        <f>IF(B149="","",C149-E149)</f>
      </c>
    </row>
    <row r="150" spans="2:7" x14ac:dyDescent="0.25">
      <c r="B150" s="29">
        <f>IF(145&lt;='계산기'!$C$7,145,"")</f>
      </c>
      <c r="C150" s="30">
        <f>IF(B150="","",G149)</f>
      </c>
      <c r="D150" s="30">
        <f>IF(B150="","",C150*'계산기'!$C$12)</f>
      </c>
      <c r="E150" s="30">
        <f>IF(B150="","",IF(B150='계산기'!$C$7,C150,IF('계산기'!$C$8="원리금균등",IF('계산기'!$C$12=0,'계산기'!$C$5/'계산기'!$C$7,PMT('계산기'!$C$12,'계산기'!$C$7,-'계산기'!$C$5))-D150,IF('계산기'!$C$8="원금균등",'계산기'!$C$5/'계산기'!$C$7,0))))</f>
      </c>
      <c r="F150" s="30">
        <f>IF(B150="","",D150+E150)</f>
      </c>
      <c r="G150" s="30">
        <f>IF(B150="","",C150-E150)</f>
      </c>
    </row>
    <row r="151" spans="2:7" x14ac:dyDescent="0.25">
      <c r="B151" s="29">
        <f>IF(146&lt;='계산기'!$C$7,146,"")</f>
      </c>
      <c r="C151" s="30">
        <f>IF(B151="","",G150)</f>
      </c>
      <c r="D151" s="30">
        <f>IF(B151="","",C151*'계산기'!$C$12)</f>
      </c>
      <c r="E151" s="30">
        <f>IF(B151="","",IF(B151='계산기'!$C$7,C151,IF('계산기'!$C$8="원리금균등",IF('계산기'!$C$12=0,'계산기'!$C$5/'계산기'!$C$7,PMT('계산기'!$C$12,'계산기'!$C$7,-'계산기'!$C$5))-D151,IF('계산기'!$C$8="원금균등",'계산기'!$C$5/'계산기'!$C$7,0))))</f>
      </c>
      <c r="F151" s="30">
        <f>IF(B151="","",D151+E151)</f>
      </c>
      <c r="G151" s="30">
        <f>IF(B151="","",C151-E151)</f>
      </c>
    </row>
    <row r="152" spans="2:7" x14ac:dyDescent="0.25">
      <c r="B152" s="29">
        <f>IF(147&lt;='계산기'!$C$7,147,"")</f>
      </c>
      <c r="C152" s="30">
        <f>IF(B152="","",G151)</f>
      </c>
      <c r="D152" s="30">
        <f>IF(B152="","",C152*'계산기'!$C$12)</f>
      </c>
      <c r="E152" s="30">
        <f>IF(B152="","",IF(B152='계산기'!$C$7,C152,IF('계산기'!$C$8="원리금균등",IF('계산기'!$C$12=0,'계산기'!$C$5/'계산기'!$C$7,PMT('계산기'!$C$12,'계산기'!$C$7,-'계산기'!$C$5))-D152,IF('계산기'!$C$8="원금균등",'계산기'!$C$5/'계산기'!$C$7,0))))</f>
      </c>
      <c r="F152" s="30">
        <f>IF(B152="","",D152+E152)</f>
      </c>
      <c r="G152" s="30">
        <f>IF(B152="","",C152-E152)</f>
      </c>
    </row>
    <row r="153" spans="2:7" x14ac:dyDescent="0.25">
      <c r="B153" s="29">
        <f>IF(148&lt;='계산기'!$C$7,148,"")</f>
      </c>
      <c r="C153" s="30">
        <f>IF(B153="","",G152)</f>
      </c>
      <c r="D153" s="30">
        <f>IF(B153="","",C153*'계산기'!$C$12)</f>
      </c>
      <c r="E153" s="30">
        <f>IF(B153="","",IF(B153='계산기'!$C$7,C153,IF('계산기'!$C$8="원리금균등",IF('계산기'!$C$12=0,'계산기'!$C$5/'계산기'!$C$7,PMT('계산기'!$C$12,'계산기'!$C$7,-'계산기'!$C$5))-D153,IF('계산기'!$C$8="원금균등",'계산기'!$C$5/'계산기'!$C$7,0))))</f>
      </c>
      <c r="F153" s="30">
        <f>IF(B153="","",D153+E153)</f>
      </c>
      <c r="G153" s="30">
        <f>IF(B153="","",C153-E153)</f>
      </c>
    </row>
    <row r="154" spans="2:7" x14ac:dyDescent="0.25">
      <c r="B154" s="29">
        <f>IF(149&lt;='계산기'!$C$7,149,"")</f>
      </c>
      <c r="C154" s="30">
        <f>IF(B154="","",G153)</f>
      </c>
      <c r="D154" s="30">
        <f>IF(B154="","",C154*'계산기'!$C$12)</f>
      </c>
      <c r="E154" s="30">
        <f>IF(B154="","",IF(B154='계산기'!$C$7,C154,IF('계산기'!$C$8="원리금균등",IF('계산기'!$C$12=0,'계산기'!$C$5/'계산기'!$C$7,PMT('계산기'!$C$12,'계산기'!$C$7,-'계산기'!$C$5))-D154,IF('계산기'!$C$8="원금균등",'계산기'!$C$5/'계산기'!$C$7,0))))</f>
      </c>
      <c r="F154" s="30">
        <f>IF(B154="","",D154+E154)</f>
      </c>
      <c r="G154" s="30">
        <f>IF(B154="","",C154-E154)</f>
      </c>
    </row>
    <row r="155" spans="2:7" x14ac:dyDescent="0.25">
      <c r="B155" s="29">
        <f>IF(150&lt;='계산기'!$C$7,150,"")</f>
      </c>
      <c r="C155" s="30">
        <f>IF(B155="","",G154)</f>
      </c>
      <c r="D155" s="30">
        <f>IF(B155="","",C155*'계산기'!$C$12)</f>
      </c>
      <c r="E155" s="30">
        <f>IF(B155="","",IF(B155='계산기'!$C$7,C155,IF('계산기'!$C$8="원리금균등",IF('계산기'!$C$12=0,'계산기'!$C$5/'계산기'!$C$7,PMT('계산기'!$C$12,'계산기'!$C$7,-'계산기'!$C$5))-D155,IF('계산기'!$C$8="원금균등",'계산기'!$C$5/'계산기'!$C$7,0))))</f>
      </c>
      <c r="F155" s="30">
        <f>IF(B155="","",D155+E155)</f>
      </c>
      <c r="G155" s="30">
        <f>IF(B155="","",C155-E155)</f>
      </c>
    </row>
    <row r="156" spans="2:7" x14ac:dyDescent="0.25">
      <c r="B156" s="29">
        <f>IF(151&lt;='계산기'!$C$7,151,"")</f>
      </c>
      <c r="C156" s="30">
        <f>IF(B156="","",G155)</f>
      </c>
      <c r="D156" s="30">
        <f>IF(B156="","",C156*'계산기'!$C$12)</f>
      </c>
      <c r="E156" s="30">
        <f>IF(B156="","",IF(B156='계산기'!$C$7,C156,IF('계산기'!$C$8="원리금균등",IF('계산기'!$C$12=0,'계산기'!$C$5/'계산기'!$C$7,PMT('계산기'!$C$12,'계산기'!$C$7,-'계산기'!$C$5))-D156,IF('계산기'!$C$8="원금균등",'계산기'!$C$5/'계산기'!$C$7,0))))</f>
      </c>
      <c r="F156" s="30">
        <f>IF(B156="","",D156+E156)</f>
      </c>
      <c r="G156" s="30">
        <f>IF(B156="","",C156-E156)</f>
      </c>
    </row>
    <row r="157" spans="2:7" x14ac:dyDescent="0.25">
      <c r="B157" s="29">
        <f>IF(152&lt;='계산기'!$C$7,152,"")</f>
      </c>
      <c r="C157" s="30">
        <f>IF(B157="","",G156)</f>
      </c>
      <c r="D157" s="30">
        <f>IF(B157="","",C157*'계산기'!$C$12)</f>
      </c>
      <c r="E157" s="30">
        <f>IF(B157="","",IF(B157='계산기'!$C$7,C157,IF('계산기'!$C$8="원리금균등",IF('계산기'!$C$12=0,'계산기'!$C$5/'계산기'!$C$7,PMT('계산기'!$C$12,'계산기'!$C$7,-'계산기'!$C$5))-D157,IF('계산기'!$C$8="원금균등",'계산기'!$C$5/'계산기'!$C$7,0))))</f>
      </c>
      <c r="F157" s="30">
        <f>IF(B157="","",D157+E157)</f>
      </c>
      <c r="G157" s="30">
        <f>IF(B157="","",C157-E157)</f>
      </c>
    </row>
    <row r="158" spans="2:7" x14ac:dyDescent="0.25">
      <c r="B158" s="29">
        <f>IF(153&lt;='계산기'!$C$7,153,"")</f>
      </c>
      <c r="C158" s="30">
        <f>IF(B158="","",G157)</f>
      </c>
      <c r="D158" s="30">
        <f>IF(B158="","",C158*'계산기'!$C$12)</f>
      </c>
      <c r="E158" s="30">
        <f>IF(B158="","",IF(B158='계산기'!$C$7,C158,IF('계산기'!$C$8="원리금균등",IF('계산기'!$C$12=0,'계산기'!$C$5/'계산기'!$C$7,PMT('계산기'!$C$12,'계산기'!$C$7,-'계산기'!$C$5))-D158,IF('계산기'!$C$8="원금균등",'계산기'!$C$5/'계산기'!$C$7,0))))</f>
      </c>
      <c r="F158" s="30">
        <f>IF(B158="","",D158+E158)</f>
      </c>
      <c r="G158" s="30">
        <f>IF(B158="","",C158-E158)</f>
      </c>
    </row>
    <row r="159" spans="2:7" x14ac:dyDescent="0.25">
      <c r="B159" s="29">
        <f>IF(154&lt;='계산기'!$C$7,154,"")</f>
      </c>
      <c r="C159" s="30">
        <f>IF(B159="","",G158)</f>
      </c>
      <c r="D159" s="30">
        <f>IF(B159="","",C159*'계산기'!$C$12)</f>
      </c>
      <c r="E159" s="30">
        <f>IF(B159="","",IF(B159='계산기'!$C$7,C159,IF('계산기'!$C$8="원리금균등",IF('계산기'!$C$12=0,'계산기'!$C$5/'계산기'!$C$7,PMT('계산기'!$C$12,'계산기'!$C$7,-'계산기'!$C$5))-D159,IF('계산기'!$C$8="원금균등",'계산기'!$C$5/'계산기'!$C$7,0))))</f>
      </c>
      <c r="F159" s="30">
        <f>IF(B159="","",D159+E159)</f>
      </c>
      <c r="G159" s="30">
        <f>IF(B159="","",C159-E159)</f>
      </c>
    </row>
    <row r="160" spans="2:7" x14ac:dyDescent="0.25">
      <c r="B160" s="29">
        <f>IF(155&lt;='계산기'!$C$7,155,"")</f>
      </c>
      <c r="C160" s="30">
        <f>IF(B160="","",G159)</f>
      </c>
      <c r="D160" s="30">
        <f>IF(B160="","",C160*'계산기'!$C$12)</f>
      </c>
      <c r="E160" s="30">
        <f>IF(B160="","",IF(B160='계산기'!$C$7,C160,IF('계산기'!$C$8="원리금균등",IF('계산기'!$C$12=0,'계산기'!$C$5/'계산기'!$C$7,PMT('계산기'!$C$12,'계산기'!$C$7,-'계산기'!$C$5))-D160,IF('계산기'!$C$8="원금균등",'계산기'!$C$5/'계산기'!$C$7,0))))</f>
      </c>
      <c r="F160" s="30">
        <f>IF(B160="","",D160+E160)</f>
      </c>
      <c r="G160" s="30">
        <f>IF(B160="","",C160-E160)</f>
      </c>
    </row>
    <row r="161" spans="2:7" x14ac:dyDescent="0.25">
      <c r="B161" s="29">
        <f>IF(156&lt;='계산기'!$C$7,156,"")</f>
      </c>
      <c r="C161" s="30">
        <f>IF(B161="","",G160)</f>
      </c>
      <c r="D161" s="30">
        <f>IF(B161="","",C161*'계산기'!$C$12)</f>
      </c>
      <c r="E161" s="30">
        <f>IF(B161="","",IF(B161='계산기'!$C$7,C161,IF('계산기'!$C$8="원리금균등",IF('계산기'!$C$12=0,'계산기'!$C$5/'계산기'!$C$7,PMT('계산기'!$C$12,'계산기'!$C$7,-'계산기'!$C$5))-D161,IF('계산기'!$C$8="원금균등",'계산기'!$C$5/'계산기'!$C$7,0))))</f>
      </c>
      <c r="F161" s="30">
        <f>IF(B161="","",D161+E161)</f>
      </c>
      <c r="G161" s="30">
        <f>IF(B161="","",C161-E161)</f>
      </c>
    </row>
    <row r="162" spans="2:7" x14ac:dyDescent="0.25">
      <c r="B162" s="29">
        <f>IF(157&lt;='계산기'!$C$7,157,"")</f>
      </c>
      <c r="C162" s="30">
        <f>IF(B162="","",G161)</f>
      </c>
      <c r="D162" s="30">
        <f>IF(B162="","",C162*'계산기'!$C$12)</f>
      </c>
      <c r="E162" s="30">
        <f>IF(B162="","",IF(B162='계산기'!$C$7,C162,IF('계산기'!$C$8="원리금균등",IF('계산기'!$C$12=0,'계산기'!$C$5/'계산기'!$C$7,PMT('계산기'!$C$12,'계산기'!$C$7,-'계산기'!$C$5))-D162,IF('계산기'!$C$8="원금균등",'계산기'!$C$5/'계산기'!$C$7,0))))</f>
      </c>
      <c r="F162" s="30">
        <f>IF(B162="","",D162+E162)</f>
      </c>
      <c r="G162" s="30">
        <f>IF(B162="","",C162-E162)</f>
      </c>
    </row>
    <row r="163" spans="2:7" x14ac:dyDescent="0.25">
      <c r="B163" s="29">
        <f>IF(158&lt;='계산기'!$C$7,158,"")</f>
      </c>
      <c r="C163" s="30">
        <f>IF(B163="","",G162)</f>
      </c>
      <c r="D163" s="30">
        <f>IF(B163="","",C163*'계산기'!$C$12)</f>
      </c>
      <c r="E163" s="30">
        <f>IF(B163="","",IF(B163='계산기'!$C$7,C163,IF('계산기'!$C$8="원리금균등",IF('계산기'!$C$12=0,'계산기'!$C$5/'계산기'!$C$7,PMT('계산기'!$C$12,'계산기'!$C$7,-'계산기'!$C$5))-D163,IF('계산기'!$C$8="원금균등",'계산기'!$C$5/'계산기'!$C$7,0))))</f>
      </c>
      <c r="F163" s="30">
        <f>IF(B163="","",D163+E163)</f>
      </c>
      <c r="G163" s="30">
        <f>IF(B163="","",C163-E163)</f>
      </c>
    </row>
    <row r="164" spans="2:7" x14ac:dyDescent="0.25">
      <c r="B164" s="29">
        <f>IF(159&lt;='계산기'!$C$7,159,"")</f>
      </c>
      <c r="C164" s="30">
        <f>IF(B164="","",G163)</f>
      </c>
      <c r="D164" s="30">
        <f>IF(B164="","",C164*'계산기'!$C$12)</f>
      </c>
      <c r="E164" s="30">
        <f>IF(B164="","",IF(B164='계산기'!$C$7,C164,IF('계산기'!$C$8="원리금균등",IF('계산기'!$C$12=0,'계산기'!$C$5/'계산기'!$C$7,PMT('계산기'!$C$12,'계산기'!$C$7,-'계산기'!$C$5))-D164,IF('계산기'!$C$8="원금균등",'계산기'!$C$5/'계산기'!$C$7,0))))</f>
      </c>
      <c r="F164" s="30">
        <f>IF(B164="","",D164+E164)</f>
      </c>
      <c r="G164" s="30">
        <f>IF(B164="","",C164-E164)</f>
      </c>
    </row>
    <row r="165" spans="2:7" x14ac:dyDescent="0.25">
      <c r="B165" s="29">
        <f>IF(160&lt;='계산기'!$C$7,160,"")</f>
      </c>
      <c r="C165" s="30">
        <f>IF(B165="","",G164)</f>
      </c>
      <c r="D165" s="30">
        <f>IF(B165="","",C165*'계산기'!$C$12)</f>
      </c>
      <c r="E165" s="30">
        <f>IF(B165="","",IF(B165='계산기'!$C$7,C165,IF('계산기'!$C$8="원리금균등",IF('계산기'!$C$12=0,'계산기'!$C$5/'계산기'!$C$7,PMT('계산기'!$C$12,'계산기'!$C$7,-'계산기'!$C$5))-D165,IF('계산기'!$C$8="원금균등",'계산기'!$C$5/'계산기'!$C$7,0))))</f>
      </c>
      <c r="F165" s="30">
        <f>IF(B165="","",D165+E165)</f>
      </c>
      <c r="G165" s="30">
        <f>IF(B165="","",C165-E165)</f>
      </c>
    </row>
    <row r="166" spans="2:7" x14ac:dyDescent="0.25">
      <c r="B166" s="29">
        <f>IF(161&lt;='계산기'!$C$7,161,"")</f>
      </c>
      <c r="C166" s="30">
        <f>IF(B166="","",G165)</f>
      </c>
      <c r="D166" s="30">
        <f>IF(B166="","",C166*'계산기'!$C$12)</f>
      </c>
      <c r="E166" s="30">
        <f>IF(B166="","",IF(B166='계산기'!$C$7,C166,IF('계산기'!$C$8="원리금균등",IF('계산기'!$C$12=0,'계산기'!$C$5/'계산기'!$C$7,PMT('계산기'!$C$12,'계산기'!$C$7,-'계산기'!$C$5))-D166,IF('계산기'!$C$8="원금균등",'계산기'!$C$5/'계산기'!$C$7,0))))</f>
      </c>
      <c r="F166" s="30">
        <f>IF(B166="","",D166+E166)</f>
      </c>
      <c r="G166" s="30">
        <f>IF(B166="","",C166-E166)</f>
      </c>
    </row>
    <row r="167" spans="2:7" x14ac:dyDescent="0.25">
      <c r="B167" s="29">
        <f>IF(162&lt;='계산기'!$C$7,162,"")</f>
      </c>
      <c r="C167" s="30">
        <f>IF(B167="","",G166)</f>
      </c>
      <c r="D167" s="30">
        <f>IF(B167="","",C167*'계산기'!$C$12)</f>
      </c>
      <c r="E167" s="30">
        <f>IF(B167="","",IF(B167='계산기'!$C$7,C167,IF('계산기'!$C$8="원리금균등",IF('계산기'!$C$12=0,'계산기'!$C$5/'계산기'!$C$7,PMT('계산기'!$C$12,'계산기'!$C$7,-'계산기'!$C$5))-D167,IF('계산기'!$C$8="원금균등",'계산기'!$C$5/'계산기'!$C$7,0))))</f>
      </c>
      <c r="F167" s="30">
        <f>IF(B167="","",D167+E167)</f>
      </c>
      <c r="G167" s="30">
        <f>IF(B167="","",C167-E167)</f>
      </c>
    </row>
    <row r="168" spans="2:7" x14ac:dyDescent="0.25">
      <c r="B168" s="29">
        <f>IF(163&lt;='계산기'!$C$7,163,"")</f>
      </c>
      <c r="C168" s="30">
        <f>IF(B168="","",G167)</f>
      </c>
      <c r="D168" s="30">
        <f>IF(B168="","",C168*'계산기'!$C$12)</f>
      </c>
      <c r="E168" s="30">
        <f>IF(B168="","",IF(B168='계산기'!$C$7,C168,IF('계산기'!$C$8="원리금균등",IF('계산기'!$C$12=0,'계산기'!$C$5/'계산기'!$C$7,PMT('계산기'!$C$12,'계산기'!$C$7,-'계산기'!$C$5))-D168,IF('계산기'!$C$8="원금균등",'계산기'!$C$5/'계산기'!$C$7,0))))</f>
      </c>
      <c r="F168" s="30">
        <f>IF(B168="","",D168+E168)</f>
      </c>
      <c r="G168" s="30">
        <f>IF(B168="","",C168-E168)</f>
      </c>
    </row>
    <row r="169" spans="2:7" x14ac:dyDescent="0.25">
      <c r="B169" s="29">
        <f>IF(164&lt;='계산기'!$C$7,164,"")</f>
      </c>
      <c r="C169" s="30">
        <f>IF(B169="","",G168)</f>
      </c>
      <c r="D169" s="30">
        <f>IF(B169="","",C169*'계산기'!$C$12)</f>
      </c>
      <c r="E169" s="30">
        <f>IF(B169="","",IF(B169='계산기'!$C$7,C169,IF('계산기'!$C$8="원리금균등",IF('계산기'!$C$12=0,'계산기'!$C$5/'계산기'!$C$7,PMT('계산기'!$C$12,'계산기'!$C$7,-'계산기'!$C$5))-D169,IF('계산기'!$C$8="원금균등",'계산기'!$C$5/'계산기'!$C$7,0))))</f>
      </c>
      <c r="F169" s="30">
        <f>IF(B169="","",D169+E169)</f>
      </c>
      <c r="G169" s="30">
        <f>IF(B169="","",C169-E169)</f>
      </c>
    </row>
    <row r="170" spans="2:7" x14ac:dyDescent="0.25">
      <c r="B170" s="29">
        <f>IF(165&lt;='계산기'!$C$7,165,"")</f>
      </c>
      <c r="C170" s="30">
        <f>IF(B170="","",G169)</f>
      </c>
      <c r="D170" s="30">
        <f>IF(B170="","",C170*'계산기'!$C$12)</f>
      </c>
      <c r="E170" s="30">
        <f>IF(B170="","",IF(B170='계산기'!$C$7,C170,IF('계산기'!$C$8="원리금균등",IF('계산기'!$C$12=0,'계산기'!$C$5/'계산기'!$C$7,PMT('계산기'!$C$12,'계산기'!$C$7,-'계산기'!$C$5))-D170,IF('계산기'!$C$8="원금균등",'계산기'!$C$5/'계산기'!$C$7,0))))</f>
      </c>
      <c r="F170" s="30">
        <f>IF(B170="","",D170+E170)</f>
      </c>
      <c r="G170" s="30">
        <f>IF(B170="","",C170-E170)</f>
      </c>
    </row>
    <row r="171" spans="2:7" x14ac:dyDescent="0.25">
      <c r="B171" s="29">
        <f>IF(166&lt;='계산기'!$C$7,166,"")</f>
      </c>
      <c r="C171" s="30">
        <f>IF(B171="","",G170)</f>
      </c>
      <c r="D171" s="30">
        <f>IF(B171="","",C171*'계산기'!$C$12)</f>
      </c>
      <c r="E171" s="30">
        <f>IF(B171="","",IF(B171='계산기'!$C$7,C171,IF('계산기'!$C$8="원리금균등",IF('계산기'!$C$12=0,'계산기'!$C$5/'계산기'!$C$7,PMT('계산기'!$C$12,'계산기'!$C$7,-'계산기'!$C$5))-D171,IF('계산기'!$C$8="원금균등",'계산기'!$C$5/'계산기'!$C$7,0))))</f>
      </c>
      <c r="F171" s="30">
        <f>IF(B171="","",D171+E171)</f>
      </c>
      <c r="G171" s="30">
        <f>IF(B171="","",C171-E171)</f>
      </c>
    </row>
    <row r="172" spans="2:7" x14ac:dyDescent="0.25">
      <c r="B172" s="29">
        <f>IF(167&lt;='계산기'!$C$7,167,"")</f>
      </c>
      <c r="C172" s="30">
        <f>IF(B172="","",G171)</f>
      </c>
      <c r="D172" s="30">
        <f>IF(B172="","",C172*'계산기'!$C$12)</f>
      </c>
      <c r="E172" s="30">
        <f>IF(B172="","",IF(B172='계산기'!$C$7,C172,IF('계산기'!$C$8="원리금균등",IF('계산기'!$C$12=0,'계산기'!$C$5/'계산기'!$C$7,PMT('계산기'!$C$12,'계산기'!$C$7,-'계산기'!$C$5))-D172,IF('계산기'!$C$8="원금균등",'계산기'!$C$5/'계산기'!$C$7,0))))</f>
      </c>
      <c r="F172" s="30">
        <f>IF(B172="","",D172+E172)</f>
      </c>
      <c r="G172" s="30">
        <f>IF(B172="","",C172-E172)</f>
      </c>
    </row>
    <row r="173" spans="2:7" x14ac:dyDescent="0.25">
      <c r="B173" s="29">
        <f>IF(168&lt;='계산기'!$C$7,168,"")</f>
      </c>
      <c r="C173" s="30">
        <f>IF(B173="","",G172)</f>
      </c>
      <c r="D173" s="30">
        <f>IF(B173="","",C173*'계산기'!$C$12)</f>
      </c>
      <c r="E173" s="30">
        <f>IF(B173="","",IF(B173='계산기'!$C$7,C173,IF('계산기'!$C$8="원리금균등",IF('계산기'!$C$12=0,'계산기'!$C$5/'계산기'!$C$7,PMT('계산기'!$C$12,'계산기'!$C$7,-'계산기'!$C$5))-D173,IF('계산기'!$C$8="원금균등",'계산기'!$C$5/'계산기'!$C$7,0))))</f>
      </c>
      <c r="F173" s="30">
        <f>IF(B173="","",D173+E173)</f>
      </c>
      <c r="G173" s="30">
        <f>IF(B173="","",C173-E173)</f>
      </c>
    </row>
    <row r="174" spans="2:7" x14ac:dyDescent="0.25">
      <c r="B174" s="29">
        <f>IF(169&lt;='계산기'!$C$7,169,"")</f>
      </c>
      <c r="C174" s="30">
        <f>IF(B174="","",G173)</f>
      </c>
      <c r="D174" s="30">
        <f>IF(B174="","",C174*'계산기'!$C$12)</f>
      </c>
      <c r="E174" s="30">
        <f>IF(B174="","",IF(B174='계산기'!$C$7,C174,IF('계산기'!$C$8="원리금균등",IF('계산기'!$C$12=0,'계산기'!$C$5/'계산기'!$C$7,PMT('계산기'!$C$12,'계산기'!$C$7,-'계산기'!$C$5))-D174,IF('계산기'!$C$8="원금균등",'계산기'!$C$5/'계산기'!$C$7,0))))</f>
      </c>
      <c r="F174" s="30">
        <f>IF(B174="","",D174+E174)</f>
      </c>
      <c r="G174" s="30">
        <f>IF(B174="","",C174-E174)</f>
      </c>
    </row>
    <row r="175" spans="2:7" x14ac:dyDescent="0.25">
      <c r="B175" s="29">
        <f>IF(170&lt;='계산기'!$C$7,170,"")</f>
      </c>
      <c r="C175" s="30">
        <f>IF(B175="","",G174)</f>
      </c>
      <c r="D175" s="30">
        <f>IF(B175="","",C175*'계산기'!$C$12)</f>
      </c>
      <c r="E175" s="30">
        <f>IF(B175="","",IF(B175='계산기'!$C$7,C175,IF('계산기'!$C$8="원리금균등",IF('계산기'!$C$12=0,'계산기'!$C$5/'계산기'!$C$7,PMT('계산기'!$C$12,'계산기'!$C$7,-'계산기'!$C$5))-D175,IF('계산기'!$C$8="원금균등",'계산기'!$C$5/'계산기'!$C$7,0))))</f>
      </c>
      <c r="F175" s="30">
        <f>IF(B175="","",D175+E175)</f>
      </c>
      <c r="G175" s="30">
        <f>IF(B175="","",C175-E175)</f>
      </c>
    </row>
    <row r="176" spans="2:7" x14ac:dyDescent="0.25">
      <c r="B176" s="29">
        <f>IF(171&lt;='계산기'!$C$7,171,"")</f>
      </c>
      <c r="C176" s="30">
        <f>IF(B176="","",G175)</f>
      </c>
      <c r="D176" s="30">
        <f>IF(B176="","",C176*'계산기'!$C$12)</f>
      </c>
      <c r="E176" s="30">
        <f>IF(B176="","",IF(B176='계산기'!$C$7,C176,IF('계산기'!$C$8="원리금균등",IF('계산기'!$C$12=0,'계산기'!$C$5/'계산기'!$C$7,PMT('계산기'!$C$12,'계산기'!$C$7,-'계산기'!$C$5))-D176,IF('계산기'!$C$8="원금균등",'계산기'!$C$5/'계산기'!$C$7,0))))</f>
      </c>
      <c r="F176" s="30">
        <f>IF(B176="","",D176+E176)</f>
      </c>
      <c r="G176" s="30">
        <f>IF(B176="","",C176-E176)</f>
      </c>
    </row>
    <row r="177" spans="2:7" x14ac:dyDescent="0.25">
      <c r="B177" s="29">
        <f>IF(172&lt;='계산기'!$C$7,172,"")</f>
      </c>
      <c r="C177" s="30">
        <f>IF(B177="","",G176)</f>
      </c>
      <c r="D177" s="30">
        <f>IF(B177="","",C177*'계산기'!$C$12)</f>
      </c>
      <c r="E177" s="30">
        <f>IF(B177="","",IF(B177='계산기'!$C$7,C177,IF('계산기'!$C$8="원리금균등",IF('계산기'!$C$12=0,'계산기'!$C$5/'계산기'!$C$7,PMT('계산기'!$C$12,'계산기'!$C$7,-'계산기'!$C$5))-D177,IF('계산기'!$C$8="원금균등",'계산기'!$C$5/'계산기'!$C$7,0))))</f>
      </c>
      <c r="F177" s="30">
        <f>IF(B177="","",D177+E177)</f>
      </c>
      <c r="G177" s="30">
        <f>IF(B177="","",C177-E177)</f>
      </c>
    </row>
    <row r="178" spans="2:7" x14ac:dyDescent="0.25">
      <c r="B178" s="29">
        <f>IF(173&lt;='계산기'!$C$7,173,"")</f>
      </c>
      <c r="C178" s="30">
        <f>IF(B178="","",G177)</f>
      </c>
      <c r="D178" s="30">
        <f>IF(B178="","",C178*'계산기'!$C$12)</f>
      </c>
      <c r="E178" s="30">
        <f>IF(B178="","",IF(B178='계산기'!$C$7,C178,IF('계산기'!$C$8="원리금균등",IF('계산기'!$C$12=0,'계산기'!$C$5/'계산기'!$C$7,PMT('계산기'!$C$12,'계산기'!$C$7,-'계산기'!$C$5))-D178,IF('계산기'!$C$8="원금균등",'계산기'!$C$5/'계산기'!$C$7,0))))</f>
      </c>
      <c r="F178" s="30">
        <f>IF(B178="","",D178+E178)</f>
      </c>
      <c r="G178" s="30">
        <f>IF(B178="","",C178-E178)</f>
      </c>
    </row>
    <row r="179" spans="2:7" x14ac:dyDescent="0.25">
      <c r="B179" s="29">
        <f>IF(174&lt;='계산기'!$C$7,174,"")</f>
      </c>
      <c r="C179" s="30">
        <f>IF(B179="","",G178)</f>
      </c>
      <c r="D179" s="30">
        <f>IF(B179="","",C179*'계산기'!$C$12)</f>
      </c>
      <c r="E179" s="30">
        <f>IF(B179="","",IF(B179='계산기'!$C$7,C179,IF('계산기'!$C$8="원리금균등",IF('계산기'!$C$12=0,'계산기'!$C$5/'계산기'!$C$7,PMT('계산기'!$C$12,'계산기'!$C$7,-'계산기'!$C$5))-D179,IF('계산기'!$C$8="원금균등",'계산기'!$C$5/'계산기'!$C$7,0))))</f>
      </c>
      <c r="F179" s="30">
        <f>IF(B179="","",D179+E179)</f>
      </c>
      <c r="G179" s="30">
        <f>IF(B179="","",C179-E179)</f>
      </c>
    </row>
    <row r="180" spans="2:7" x14ac:dyDescent="0.25">
      <c r="B180" s="29">
        <f>IF(175&lt;='계산기'!$C$7,175,"")</f>
      </c>
      <c r="C180" s="30">
        <f>IF(B180="","",G179)</f>
      </c>
      <c r="D180" s="30">
        <f>IF(B180="","",C180*'계산기'!$C$12)</f>
      </c>
      <c r="E180" s="30">
        <f>IF(B180="","",IF(B180='계산기'!$C$7,C180,IF('계산기'!$C$8="원리금균등",IF('계산기'!$C$12=0,'계산기'!$C$5/'계산기'!$C$7,PMT('계산기'!$C$12,'계산기'!$C$7,-'계산기'!$C$5))-D180,IF('계산기'!$C$8="원금균등",'계산기'!$C$5/'계산기'!$C$7,0))))</f>
      </c>
      <c r="F180" s="30">
        <f>IF(B180="","",D180+E180)</f>
      </c>
      <c r="G180" s="30">
        <f>IF(B180="","",C180-E180)</f>
      </c>
    </row>
    <row r="181" spans="2:7" x14ac:dyDescent="0.25">
      <c r="B181" s="29">
        <f>IF(176&lt;='계산기'!$C$7,176,"")</f>
      </c>
      <c r="C181" s="30">
        <f>IF(B181="","",G180)</f>
      </c>
      <c r="D181" s="30">
        <f>IF(B181="","",C181*'계산기'!$C$12)</f>
      </c>
      <c r="E181" s="30">
        <f>IF(B181="","",IF(B181='계산기'!$C$7,C181,IF('계산기'!$C$8="원리금균등",IF('계산기'!$C$12=0,'계산기'!$C$5/'계산기'!$C$7,PMT('계산기'!$C$12,'계산기'!$C$7,-'계산기'!$C$5))-D181,IF('계산기'!$C$8="원금균등",'계산기'!$C$5/'계산기'!$C$7,0))))</f>
      </c>
      <c r="F181" s="30">
        <f>IF(B181="","",D181+E181)</f>
      </c>
      <c r="G181" s="30">
        <f>IF(B181="","",C181-E181)</f>
      </c>
    </row>
    <row r="182" spans="2:7" x14ac:dyDescent="0.25">
      <c r="B182" s="29">
        <f>IF(177&lt;='계산기'!$C$7,177,"")</f>
      </c>
      <c r="C182" s="30">
        <f>IF(B182="","",G181)</f>
      </c>
      <c r="D182" s="30">
        <f>IF(B182="","",C182*'계산기'!$C$12)</f>
      </c>
      <c r="E182" s="30">
        <f>IF(B182="","",IF(B182='계산기'!$C$7,C182,IF('계산기'!$C$8="원리금균등",IF('계산기'!$C$12=0,'계산기'!$C$5/'계산기'!$C$7,PMT('계산기'!$C$12,'계산기'!$C$7,-'계산기'!$C$5))-D182,IF('계산기'!$C$8="원금균등",'계산기'!$C$5/'계산기'!$C$7,0))))</f>
      </c>
      <c r="F182" s="30">
        <f>IF(B182="","",D182+E182)</f>
      </c>
      <c r="G182" s="30">
        <f>IF(B182="","",C182-E182)</f>
      </c>
    </row>
    <row r="183" spans="2:7" x14ac:dyDescent="0.25">
      <c r="B183" s="29">
        <f>IF(178&lt;='계산기'!$C$7,178,"")</f>
      </c>
      <c r="C183" s="30">
        <f>IF(B183="","",G182)</f>
      </c>
      <c r="D183" s="30">
        <f>IF(B183="","",C183*'계산기'!$C$12)</f>
      </c>
      <c r="E183" s="30">
        <f>IF(B183="","",IF(B183='계산기'!$C$7,C183,IF('계산기'!$C$8="원리금균등",IF('계산기'!$C$12=0,'계산기'!$C$5/'계산기'!$C$7,PMT('계산기'!$C$12,'계산기'!$C$7,-'계산기'!$C$5))-D183,IF('계산기'!$C$8="원금균등",'계산기'!$C$5/'계산기'!$C$7,0))))</f>
      </c>
      <c r="F183" s="30">
        <f>IF(B183="","",D183+E183)</f>
      </c>
      <c r="G183" s="30">
        <f>IF(B183="","",C183-E183)</f>
      </c>
    </row>
    <row r="184" spans="2:7" x14ac:dyDescent="0.25">
      <c r="B184" s="29">
        <f>IF(179&lt;='계산기'!$C$7,179,"")</f>
      </c>
      <c r="C184" s="30">
        <f>IF(B184="","",G183)</f>
      </c>
      <c r="D184" s="30">
        <f>IF(B184="","",C184*'계산기'!$C$12)</f>
      </c>
      <c r="E184" s="30">
        <f>IF(B184="","",IF(B184='계산기'!$C$7,C184,IF('계산기'!$C$8="원리금균등",IF('계산기'!$C$12=0,'계산기'!$C$5/'계산기'!$C$7,PMT('계산기'!$C$12,'계산기'!$C$7,-'계산기'!$C$5))-D184,IF('계산기'!$C$8="원금균등",'계산기'!$C$5/'계산기'!$C$7,0))))</f>
      </c>
      <c r="F184" s="30">
        <f>IF(B184="","",D184+E184)</f>
      </c>
      <c r="G184" s="30">
        <f>IF(B184="","",C184-E184)</f>
      </c>
    </row>
    <row r="185" spans="2:7" x14ac:dyDescent="0.25">
      <c r="B185" s="29">
        <f>IF(180&lt;='계산기'!$C$7,180,"")</f>
      </c>
      <c r="C185" s="30">
        <f>IF(B185="","",G184)</f>
      </c>
      <c r="D185" s="30">
        <f>IF(B185="","",C185*'계산기'!$C$12)</f>
      </c>
      <c r="E185" s="30">
        <f>IF(B185="","",IF(B185='계산기'!$C$7,C185,IF('계산기'!$C$8="원리금균등",IF('계산기'!$C$12=0,'계산기'!$C$5/'계산기'!$C$7,PMT('계산기'!$C$12,'계산기'!$C$7,-'계산기'!$C$5))-D185,IF('계산기'!$C$8="원금균등",'계산기'!$C$5/'계산기'!$C$7,0))))</f>
      </c>
      <c r="F185" s="30">
        <f>IF(B185="","",D185+E185)</f>
      </c>
      <c r="G185" s="30">
        <f>IF(B185="","",C185-E185)</f>
      </c>
    </row>
    <row r="186" spans="2:7" x14ac:dyDescent="0.25">
      <c r="B186" s="29">
        <f>IF(181&lt;='계산기'!$C$7,181,"")</f>
      </c>
      <c r="C186" s="30">
        <f>IF(B186="","",G185)</f>
      </c>
      <c r="D186" s="30">
        <f>IF(B186="","",C186*'계산기'!$C$12)</f>
      </c>
      <c r="E186" s="30">
        <f>IF(B186="","",IF(B186='계산기'!$C$7,C186,IF('계산기'!$C$8="원리금균등",IF('계산기'!$C$12=0,'계산기'!$C$5/'계산기'!$C$7,PMT('계산기'!$C$12,'계산기'!$C$7,-'계산기'!$C$5))-D186,IF('계산기'!$C$8="원금균등",'계산기'!$C$5/'계산기'!$C$7,0))))</f>
      </c>
      <c r="F186" s="30">
        <f>IF(B186="","",D186+E186)</f>
      </c>
      <c r="G186" s="30">
        <f>IF(B186="","",C186-E186)</f>
      </c>
    </row>
    <row r="187" spans="2:7" x14ac:dyDescent="0.25">
      <c r="B187" s="29">
        <f>IF(182&lt;='계산기'!$C$7,182,"")</f>
      </c>
      <c r="C187" s="30">
        <f>IF(B187="","",G186)</f>
      </c>
      <c r="D187" s="30">
        <f>IF(B187="","",C187*'계산기'!$C$12)</f>
      </c>
      <c r="E187" s="30">
        <f>IF(B187="","",IF(B187='계산기'!$C$7,C187,IF('계산기'!$C$8="원리금균등",IF('계산기'!$C$12=0,'계산기'!$C$5/'계산기'!$C$7,PMT('계산기'!$C$12,'계산기'!$C$7,-'계산기'!$C$5))-D187,IF('계산기'!$C$8="원금균등",'계산기'!$C$5/'계산기'!$C$7,0))))</f>
      </c>
      <c r="F187" s="30">
        <f>IF(B187="","",D187+E187)</f>
      </c>
      <c r="G187" s="30">
        <f>IF(B187="","",C187-E187)</f>
      </c>
    </row>
    <row r="188" spans="2:7" x14ac:dyDescent="0.25">
      <c r="B188" s="29">
        <f>IF(183&lt;='계산기'!$C$7,183,"")</f>
      </c>
      <c r="C188" s="30">
        <f>IF(B188="","",G187)</f>
      </c>
      <c r="D188" s="30">
        <f>IF(B188="","",C188*'계산기'!$C$12)</f>
      </c>
      <c r="E188" s="30">
        <f>IF(B188="","",IF(B188='계산기'!$C$7,C188,IF('계산기'!$C$8="원리금균등",IF('계산기'!$C$12=0,'계산기'!$C$5/'계산기'!$C$7,PMT('계산기'!$C$12,'계산기'!$C$7,-'계산기'!$C$5))-D188,IF('계산기'!$C$8="원금균등",'계산기'!$C$5/'계산기'!$C$7,0))))</f>
      </c>
      <c r="F188" s="30">
        <f>IF(B188="","",D188+E188)</f>
      </c>
      <c r="G188" s="30">
        <f>IF(B188="","",C188-E188)</f>
      </c>
    </row>
    <row r="189" spans="2:7" x14ac:dyDescent="0.25">
      <c r="B189" s="29">
        <f>IF(184&lt;='계산기'!$C$7,184,"")</f>
      </c>
      <c r="C189" s="30">
        <f>IF(B189="","",G188)</f>
      </c>
      <c r="D189" s="30">
        <f>IF(B189="","",C189*'계산기'!$C$12)</f>
      </c>
      <c r="E189" s="30">
        <f>IF(B189="","",IF(B189='계산기'!$C$7,C189,IF('계산기'!$C$8="원리금균등",IF('계산기'!$C$12=0,'계산기'!$C$5/'계산기'!$C$7,PMT('계산기'!$C$12,'계산기'!$C$7,-'계산기'!$C$5))-D189,IF('계산기'!$C$8="원금균등",'계산기'!$C$5/'계산기'!$C$7,0))))</f>
      </c>
      <c r="F189" s="30">
        <f>IF(B189="","",D189+E189)</f>
      </c>
      <c r="G189" s="30">
        <f>IF(B189="","",C189-E189)</f>
      </c>
    </row>
    <row r="190" spans="2:7" x14ac:dyDescent="0.25">
      <c r="B190" s="29">
        <f>IF(185&lt;='계산기'!$C$7,185,"")</f>
      </c>
      <c r="C190" s="30">
        <f>IF(B190="","",G189)</f>
      </c>
      <c r="D190" s="30">
        <f>IF(B190="","",C190*'계산기'!$C$12)</f>
      </c>
      <c r="E190" s="30">
        <f>IF(B190="","",IF(B190='계산기'!$C$7,C190,IF('계산기'!$C$8="원리금균등",IF('계산기'!$C$12=0,'계산기'!$C$5/'계산기'!$C$7,PMT('계산기'!$C$12,'계산기'!$C$7,-'계산기'!$C$5))-D190,IF('계산기'!$C$8="원금균등",'계산기'!$C$5/'계산기'!$C$7,0))))</f>
      </c>
      <c r="F190" s="30">
        <f>IF(B190="","",D190+E190)</f>
      </c>
      <c r="G190" s="30">
        <f>IF(B190="","",C190-E190)</f>
      </c>
    </row>
    <row r="191" spans="2:7" x14ac:dyDescent="0.25">
      <c r="B191" s="29">
        <f>IF(186&lt;='계산기'!$C$7,186,"")</f>
      </c>
      <c r="C191" s="30">
        <f>IF(B191="","",G190)</f>
      </c>
      <c r="D191" s="30">
        <f>IF(B191="","",C191*'계산기'!$C$12)</f>
      </c>
      <c r="E191" s="30">
        <f>IF(B191="","",IF(B191='계산기'!$C$7,C191,IF('계산기'!$C$8="원리금균등",IF('계산기'!$C$12=0,'계산기'!$C$5/'계산기'!$C$7,PMT('계산기'!$C$12,'계산기'!$C$7,-'계산기'!$C$5))-D191,IF('계산기'!$C$8="원금균등",'계산기'!$C$5/'계산기'!$C$7,0))))</f>
      </c>
      <c r="F191" s="30">
        <f>IF(B191="","",D191+E191)</f>
      </c>
      <c r="G191" s="30">
        <f>IF(B191="","",C191-E191)</f>
      </c>
    </row>
    <row r="192" spans="2:7" x14ac:dyDescent="0.25">
      <c r="B192" s="29">
        <f>IF(187&lt;='계산기'!$C$7,187,"")</f>
      </c>
      <c r="C192" s="30">
        <f>IF(B192="","",G191)</f>
      </c>
      <c r="D192" s="30">
        <f>IF(B192="","",C192*'계산기'!$C$12)</f>
      </c>
      <c r="E192" s="30">
        <f>IF(B192="","",IF(B192='계산기'!$C$7,C192,IF('계산기'!$C$8="원리금균등",IF('계산기'!$C$12=0,'계산기'!$C$5/'계산기'!$C$7,PMT('계산기'!$C$12,'계산기'!$C$7,-'계산기'!$C$5))-D192,IF('계산기'!$C$8="원금균등",'계산기'!$C$5/'계산기'!$C$7,0))))</f>
      </c>
      <c r="F192" s="30">
        <f>IF(B192="","",D192+E192)</f>
      </c>
      <c r="G192" s="30">
        <f>IF(B192="","",C192-E192)</f>
      </c>
    </row>
    <row r="193" spans="2:7" x14ac:dyDescent="0.25">
      <c r="B193" s="29">
        <f>IF(188&lt;='계산기'!$C$7,188,"")</f>
      </c>
      <c r="C193" s="30">
        <f>IF(B193="","",G192)</f>
      </c>
      <c r="D193" s="30">
        <f>IF(B193="","",C193*'계산기'!$C$12)</f>
      </c>
      <c r="E193" s="30">
        <f>IF(B193="","",IF(B193='계산기'!$C$7,C193,IF('계산기'!$C$8="원리금균등",IF('계산기'!$C$12=0,'계산기'!$C$5/'계산기'!$C$7,PMT('계산기'!$C$12,'계산기'!$C$7,-'계산기'!$C$5))-D193,IF('계산기'!$C$8="원금균등",'계산기'!$C$5/'계산기'!$C$7,0))))</f>
      </c>
      <c r="F193" s="30">
        <f>IF(B193="","",D193+E193)</f>
      </c>
      <c r="G193" s="30">
        <f>IF(B193="","",C193-E193)</f>
      </c>
    </row>
    <row r="194" spans="2:7" x14ac:dyDescent="0.25">
      <c r="B194" s="29">
        <f>IF(189&lt;='계산기'!$C$7,189,"")</f>
      </c>
      <c r="C194" s="30">
        <f>IF(B194="","",G193)</f>
      </c>
      <c r="D194" s="30">
        <f>IF(B194="","",C194*'계산기'!$C$12)</f>
      </c>
      <c r="E194" s="30">
        <f>IF(B194="","",IF(B194='계산기'!$C$7,C194,IF('계산기'!$C$8="원리금균등",IF('계산기'!$C$12=0,'계산기'!$C$5/'계산기'!$C$7,PMT('계산기'!$C$12,'계산기'!$C$7,-'계산기'!$C$5))-D194,IF('계산기'!$C$8="원금균등",'계산기'!$C$5/'계산기'!$C$7,0))))</f>
      </c>
      <c r="F194" s="30">
        <f>IF(B194="","",D194+E194)</f>
      </c>
      <c r="G194" s="30">
        <f>IF(B194="","",C194-E194)</f>
      </c>
    </row>
    <row r="195" spans="2:7" x14ac:dyDescent="0.25">
      <c r="B195" s="29">
        <f>IF(190&lt;='계산기'!$C$7,190,"")</f>
      </c>
      <c r="C195" s="30">
        <f>IF(B195="","",G194)</f>
      </c>
      <c r="D195" s="30">
        <f>IF(B195="","",C195*'계산기'!$C$12)</f>
      </c>
      <c r="E195" s="30">
        <f>IF(B195="","",IF(B195='계산기'!$C$7,C195,IF('계산기'!$C$8="원리금균등",IF('계산기'!$C$12=0,'계산기'!$C$5/'계산기'!$C$7,PMT('계산기'!$C$12,'계산기'!$C$7,-'계산기'!$C$5))-D195,IF('계산기'!$C$8="원금균등",'계산기'!$C$5/'계산기'!$C$7,0))))</f>
      </c>
      <c r="F195" s="30">
        <f>IF(B195="","",D195+E195)</f>
      </c>
      <c r="G195" s="30">
        <f>IF(B195="","",C195-E195)</f>
      </c>
    </row>
    <row r="196" spans="2:7" x14ac:dyDescent="0.25">
      <c r="B196" s="29">
        <f>IF(191&lt;='계산기'!$C$7,191,"")</f>
      </c>
      <c r="C196" s="30">
        <f>IF(B196="","",G195)</f>
      </c>
      <c r="D196" s="30">
        <f>IF(B196="","",C196*'계산기'!$C$12)</f>
      </c>
      <c r="E196" s="30">
        <f>IF(B196="","",IF(B196='계산기'!$C$7,C196,IF('계산기'!$C$8="원리금균등",IF('계산기'!$C$12=0,'계산기'!$C$5/'계산기'!$C$7,PMT('계산기'!$C$12,'계산기'!$C$7,-'계산기'!$C$5))-D196,IF('계산기'!$C$8="원금균등",'계산기'!$C$5/'계산기'!$C$7,0))))</f>
      </c>
      <c r="F196" s="30">
        <f>IF(B196="","",D196+E196)</f>
      </c>
      <c r="G196" s="30">
        <f>IF(B196="","",C196-E196)</f>
      </c>
    </row>
    <row r="197" spans="2:7" x14ac:dyDescent="0.25">
      <c r="B197" s="29">
        <f>IF(192&lt;='계산기'!$C$7,192,"")</f>
      </c>
      <c r="C197" s="30">
        <f>IF(B197="","",G196)</f>
      </c>
      <c r="D197" s="30">
        <f>IF(B197="","",C197*'계산기'!$C$12)</f>
      </c>
      <c r="E197" s="30">
        <f>IF(B197="","",IF(B197='계산기'!$C$7,C197,IF('계산기'!$C$8="원리금균등",IF('계산기'!$C$12=0,'계산기'!$C$5/'계산기'!$C$7,PMT('계산기'!$C$12,'계산기'!$C$7,-'계산기'!$C$5))-D197,IF('계산기'!$C$8="원금균등",'계산기'!$C$5/'계산기'!$C$7,0))))</f>
      </c>
      <c r="F197" s="30">
        <f>IF(B197="","",D197+E197)</f>
      </c>
      <c r="G197" s="30">
        <f>IF(B197="","",C197-E197)</f>
      </c>
    </row>
    <row r="198" spans="2:7" x14ac:dyDescent="0.25">
      <c r="B198" s="29">
        <f>IF(193&lt;='계산기'!$C$7,193,"")</f>
      </c>
      <c r="C198" s="30">
        <f>IF(B198="","",G197)</f>
      </c>
      <c r="D198" s="30">
        <f>IF(B198="","",C198*'계산기'!$C$12)</f>
      </c>
      <c r="E198" s="30">
        <f>IF(B198="","",IF(B198='계산기'!$C$7,C198,IF('계산기'!$C$8="원리금균등",IF('계산기'!$C$12=0,'계산기'!$C$5/'계산기'!$C$7,PMT('계산기'!$C$12,'계산기'!$C$7,-'계산기'!$C$5))-D198,IF('계산기'!$C$8="원금균등",'계산기'!$C$5/'계산기'!$C$7,0))))</f>
      </c>
      <c r="F198" s="30">
        <f>IF(B198="","",D198+E198)</f>
      </c>
      <c r="G198" s="30">
        <f>IF(B198="","",C198-E198)</f>
      </c>
    </row>
    <row r="199" spans="2:7" x14ac:dyDescent="0.25">
      <c r="B199" s="29">
        <f>IF(194&lt;='계산기'!$C$7,194,"")</f>
      </c>
      <c r="C199" s="30">
        <f>IF(B199="","",G198)</f>
      </c>
      <c r="D199" s="30">
        <f>IF(B199="","",C199*'계산기'!$C$12)</f>
      </c>
      <c r="E199" s="30">
        <f>IF(B199="","",IF(B199='계산기'!$C$7,C199,IF('계산기'!$C$8="원리금균등",IF('계산기'!$C$12=0,'계산기'!$C$5/'계산기'!$C$7,PMT('계산기'!$C$12,'계산기'!$C$7,-'계산기'!$C$5))-D199,IF('계산기'!$C$8="원금균등",'계산기'!$C$5/'계산기'!$C$7,0))))</f>
      </c>
      <c r="F199" s="30">
        <f>IF(B199="","",D199+E199)</f>
      </c>
      <c r="G199" s="30">
        <f>IF(B199="","",C199-E199)</f>
      </c>
    </row>
    <row r="200" spans="2:7" x14ac:dyDescent="0.25">
      <c r="B200" s="29">
        <f>IF(195&lt;='계산기'!$C$7,195,"")</f>
      </c>
      <c r="C200" s="30">
        <f>IF(B200="","",G199)</f>
      </c>
      <c r="D200" s="30">
        <f>IF(B200="","",C200*'계산기'!$C$12)</f>
      </c>
      <c r="E200" s="30">
        <f>IF(B200="","",IF(B200='계산기'!$C$7,C200,IF('계산기'!$C$8="원리금균등",IF('계산기'!$C$12=0,'계산기'!$C$5/'계산기'!$C$7,PMT('계산기'!$C$12,'계산기'!$C$7,-'계산기'!$C$5))-D200,IF('계산기'!$C$8="원금균등",'계산기'!$C$5/'계산기'!$C$7,0))))</f>
      </c>
      <c r="F200" s="30">
        <f>IF(B200="","",D200+E200)</f>
      </c>
      <c r="G200" s="30">
        <f>IF(B200="","",C200-E200)</f>
      </c>
    </row>
    <row r="201" spans="2:7" x14ac:dyDescent="0.25">
      <c r="B201" s="29">
        <f>IF(196&lt;='계산기'!$C$7,196,"")</f>
      </c>
      <c r="C201" s="30">
        <f>IF(B201="","",G200)</f>
      </c>
      <c r="D201" s="30">
        <f>IF(B201="","",C201*'계산기'!$C$12)</f>
      </c>
      <c r="E201" s="30">
        <f>IF(B201="","",IF(B201='계산기'!$C$7,C201,IF('계산기'!$C$8="원리금균등",IF('계산기'!$C$12=0,'계산기'!$C$5/'계산기'!$C$7,PMT('계산기'!$C$12,'계산기'!$C$7,-'계산기'!$C$5))-D201,IF('계산기'!$C$8="원금균등",'계산기'!$C$5/'계산기'!$C$7,0))))</f>
      </c>
      <c r="F201" s="30">
        <f>IF(B201="","",D201+E201)</f>
      </c>
      <c r="G201" s="30">
        <f>IF(B201="","",C201-E201)</f>
      </c>
    </row>
    <row r="202" spans="2:7" x14ac:dyDescent="0.25">
      <c r="B202" s="29">
        <f>IF(197&lt;='계산기'!$C$7,197,"")</f>
      </c>
      <c r="C202" s="30">
        <f>IF(B202="","",G201)</f>
      </c>
      <c r="D202" s="30">
        <f>IF(B202="","",C202*'계산기'!$C$12)</f>
      </c>
      <c r="E202" s="30">
        <f>IF(B202="","",IF(B202='계산기'!$C$7,C202,IF('계산기'!$C$8="원리금균등",IF('계산기'!$C$12=0,'계산기'!$C$5/'계산기'!$C$7,PMT('계산기'!$C$12,'계산기'!$C$7,-'계산기'!$C$5))-D202,IF('계산기'!$C$8="원금균등",'계산기'!$C$5/'계산기'!$C$7,0))))</f>
      </c>
      <c r="F202" s="30">
        <f>IF(B202="","",D202+E202)</f>
      </c>
      <c r="G202" s="30">
        <f>IF(B202="","",C202-E202)</f>
      </c>
    </row>
    <row r="203" spans="2:7" x14ac:dyDescent="0.25">
      <c r="B203" s="29">
        <f>IF(198&lt;='계산기'!$C$7,198,"")</f>
      </c>
      <c r="C203" s="30">
        <f>IF(B203="","",G202)</f>
      </c>
      <c r="D203" s="30">
        <f>IF(B203="","",C203*'계산기'!$C$12)</f>
      </c>
      <c r="E203" s="30">
        <f>IF(B203="","",IF(B203='계산기'!$C$7,C203,IF('계산기'!$C$8="원리금균등",IF('계산기'!$C$12=0,'계산기'!$C$5/'계산기'!$C$7,PMT('계산기'!$C$12,'계산기'!$C$7,-'계산기'!$C$5))-D203,IF('계산기'!$C$8="원금균등",'계산기'!$C$5/'계산기'!$C$7,0))))</f>
      </c>
      <c r="F203" s="30">
        <f>IF(B203="","",D203+E203)</f>
      </c>
      <c r="G203" s="30">
        <f>IF(B203="","",C203-E203)</f>
      </c>
    </row>
    <row r="204" spans="2:7" x14ac:dyDescent="0.25">
      <c r="B204" s="29">
        <f>IF(199&lt;='계산기'!$C$7,199,"")</f>
      </c>
      <c r="C204" s="30">
        <f>IF(B204="","",G203)</f>
      </c>
      <c r="D204" s="30">
        <f>IF(B204="","",C204*'계산기'!$C$12)</f>
      </c>
      <c r="E204" s="30">
        <f>IF(B204="","",IF(B204='계산기'!$C$7,C204,IF('계산기'!$C$8="원리금균등",IF('계산기'!$C$12=0,'계산기'!$C$5/'계산기'!$C$7,PMT('계산기'!$C$12,'계산기'!$C$7,-'계산기'!$C$5))-D204,IF('계산기'!$C$8="원금균등",'계산기'!$C$5/'계산기'!$C$7,0))))</f>
      </c>
      <c r="F204" s="30">
        <f>IF(B204="","",D204+E204)</f>
      </c>
      <c r="G204" s="30">
        <f>IF(B204="","",C204-E204)</f>
      </c>
    </row>
    <row r="205" spans="2:7" x14ac:dyDescent="0.25">
      <c r="B205" s="29">
        <f>IF(200&lt;='계산기'!$C$7,200,"")</f>
      </c>
      <c r="C205" s="30">
        <f>IF(B205="","",G204)</f>
      </c>
      <c r="D205" s="30">
        <f>IF(B205="","",C205*'계산기'!$C$12)</f>
      </c>
      <c r="E205" s="30">
        <f>IF(B205="","",IF(B205='계산기'!$C$7,C205,IF('계산기'!$C$8="원리금균등",IF('계산기'!$C$12=0,'계산기'!$C$5/'계산기'!$C$7,PMT('계산기'!$C$12,'계산기'!$C$7,-'계산기'!$C$5))-D205,IF('계산기'!$C$8="원금균등",'계산기'!$C$5/'계산기'!$C$7,0))))</f>
      </c>
      <c r="F205" s="30">
        <f>IF(B205="","",D205+E205)</f>
      </c>
      <c r="G205" s="30">
        <f>IF(B205="","",C205-E205)</f>
      </c>
    </row>
    <row r="206" spans="2:7" x14ac:dyDescent="0.25">
      <c r="B206" s="29">
        <f>IF(201&lt;='계산기'!$C$7,201,"")</f>
      </c>
      <c r="C206" s="30">
        <f>IF(B206="","",G205)</f>
      </c>
      <c r="D206" s="30">
        <f>IF(B206="","",C206*'계산기'!$C$12)</f>
      </c>
      <c r="E206" s="30">
        <f>IF(B206="","",IF(B206='계산기'!$C$7,C206,IF('계산기'!$C$8="원리금균등",IF('계산기'!$C$12=0,'계산기'!$C$5/'계산기'!$C$7,PMT('계산기'!$C$12,'계산기'!$C$7,-'계산기'!$C$5))-D206,IF('계산기'!$C$8="원금균등",'계산기'!$C$5/'계산기'!$C$7,0))))</f>
      </c>
      <c r="F206" s="30">
        <f>IF(B206="","",D206+E206)</f>
      </c>
      <c r="G206" s="30">
        <f>IF(B206="","",C206-E206)</f>
      </c>
    </row>
    <row r="207" spans="2:7" x14ac:dyDescent="0.25">
      <c r="B207" s="29">
        <f>IF(202&lt;='계산기'!$C$7,202,"")</f>
      </c>
      <c r="C207" s="30">
        <f>IF(B207="","",G206)</f>
      </c>
      <c r="D207" s="30">
        <f>IF(B207="","",C207*'계산기'!$C$12)</f>
      </c>
      <c r="E207" s="30">
        <f>IF(B207="","",IF(B207='계산기'!$C$7,C207,IF('계산기'!$C$8="원리금균등",IF('계산기'!$C$12=0,'계산기'!$C$5/'계산기'!$C$7,PMT('계산기'!$C$12,'계산기'!$C$7,-'계산기'!$C$5))-D207,IF('계산기'!$C$8="원금균등",'계산기'!$C$5/'계산기'!$C$7,0))))</f>
      </c>
      <c r="F207" s="30">
        <f>IF(B207="","",D207+E207)</f>
      </c>
      <c r="G207" s="30">
        <f>IF(B207="","",C207-E207)</f>
      </c>
    </row>
    <row r="208" spans="2:7" x14ac:dyDescent="0.25">
      <c r="B208" s="29">
        <f>IF(203&lt;='계산기'!$C$7,203,"")</f>
      </c>
      <c r="C208" s="30">
        <f>IF(B208="","",G207)</f>
      </c>
      <c r="D208" s="30">
        <f>IF(B208="","",C208*'계산기'!$C$12)</f>
      </c>
      <c r="E208" s="30">
        <f>IF(B208="","",IF(B208='계산기'!$C$7,C208,IF('계산기'!$C$8="원리금균등",IF('계산기'!$C$12=0,'계산기'!$C$5/'계산기'!$C$7,PMT('계산기'!$C$12,'계산기'!$C$7,-'계산기'!$C$5))-D208,IF('계산기'!$C$8="원금균등",'계산기'!$C$5/'계산기'!$C$7,0))))</f>
      </c>
      <c r="F208" s="30">
        <f>IF(B208="","",D208+E208)</f>
      </c>
      <c r="G208" s="30">
        <f>IF(B208="","",C208-E208)</f>
      </c>
    </row>
    <row r="209" spans="2:7" x14ac:dyDescent="0.25">
      <c r="B209" s="29">
        <f>IF(204&lt;='계산기'!$C$7,204,"")</f>
      </c>
      <c r="C209" s="30">
        <f>IF(B209="","",G208)</f>
      </c>
      <c r="D209" s="30">
        <f>IF(B209="","",C209*'계산기'!$C$12)</f>
      </c>
      <c r="E209" s="30">
        <f>IF(B209="","",IF(B209='계산기'!$C$7,C209,IF('계산기'!$C$8="원리금균등",IF('계산기'!$C$12=0,'계산기'!$C$5/'계산기'!$C$7,PMT('계산기'!$C$12,'계산기'!$C$7,-'계산기'!$C$5))-D209,IF('계산기'!$C$8="원금균등",'계산기'!$C$5/'계산기'!$C$7,0))))</f>
      </c>
      <c r="F209" s="30">
        <f>IF(B209="","",D209+E209)</f>
      </c>
      <c r="G209" s="30">
        <f>IF(B209="","",C209-E209)</f>
      </c>
    </row>
    <row r="210" spans="2:7" x14ac:dyDescent="0.25">
      <c r="B210" s="29">
        <f>IF(205&lt;='계산기'!$C$7,205,"")</f>
      </c>
      <c r="C210" s="30">
        <f>IF(B210="","",G209)</f>
      </c>
      <c r="D210" s="30">
        <f>IF(B210="","",C210*'계산기'!$C$12)</f>
      </c>
      <c r="E210" s="30">
        <f>IF(B210="","",IF(B210='계산기'!$C$7,C210,IF('계산기'!$C$8="원리금균등",IF('계산기'!$C$12=0,'계산기'!$C$5/'계산기'!$C$7,PMT('계산기'!$C$12,'계산기'!$C$7,-'계산기'!$C$5))-D210,IF('계산기'!$C$8="원금균등",'계산기'!$C$5/'계산기'!$C$7,0))))</f>
      </c>
      <c r="F210" s="30">
        <f>IF(B210="","",D210+E210)</f>
      </c>
      <c r="G210" s="30">
        <f>IF(B210="","",C210-E210)</f>
      </c>
    </row>
    <row r="211" spans="2:7" x14ac:dyDescent="0.25">
      <c r="B211" s="29">
        <f>IF(206&lt;='계산기'!$C$7,206,"")</f>
      </c>
      <c r="C211" s="30">
        <f>IF(B211="","",G210)</f>
      </c>
      <c r="D211" s="30">
        <f>IF(B211="","",C211*'계산기'!$C$12)</f>
      </c>
      <c r="E211" s="30">
        <f>IF(B211="","",IF(B211='계산기'!$C$7,C211,IF('계산기'!$C$8="원리금균등",IF('계산기'!$C$12=0,'계산기'!$C$5/'계산기'!$C$7,PMT('계산기'!$C$12,'계산기'!$C$7,-'계산기'!$C$5))-D211,IF('계산기'!$C$8="원금균등",'계산기'!$C$5/'계산기'!$C$7,0))))</f>
      </c>
      <c r="F211" s="30">
        <f>IF(B211="","",D211+E211)</f>
      </c>
      <c r="G211" s="30">
        <f>IF(B211="","",C211-E211)</f>
      </c>
    </row>
    <row r="212" spans="2:7" x14ac:dyDescent="0.25">
      <c r="B212" s="29">
        <f>IF(207&lt;='계산기'!$C$7,207,"")</f>
      </c>
      <c r="C212" s="30">
        <f>IF(B212="","",G211)</f>
      </c>
      <c r="D212" s="30">
        <f>IF(B212="","",C212*'계산기'!$C$12)</f>
      </c>
      <c r="E212" s="30">
        <f>IF(B212="","",IF(B212='계산기'!$C$7,C212,IF('계산기'!$C$8="원리금균등",IF('계산기'!$C$12=0,'계산기'!$C$5/'계산기'!$C$7,PMT('계산기'!$C$12,'계산기'!$C$7,-'계산기'!$C$5))-D212,IF('계산기'!$C$8="원금균등",'계산기'!$C$5/'계산기'!$C$7,0))))</f>
      </c>
      <c r="F212" s="30">
        <f>IF(B212="","",D212+E212)</f>
      </c>
      <c r="G212" s="30">
        <f>IF(B212="","",C212-E212)</f>
      </c>
    </row>
    <row r="213" spans="2:7" x14ac:dyDescent="0.25">
      <c r="B213" s="29">
        <f>IF(208&lt;='계산기'!$C$7,208,"")</f>
      </c>
      <c r="C213" s="30">
        <f>IF(B213="","",G212)</f>
      </c>
      <c r="D213" s="30">
        <f>IF(B213="","",C213*'계산기'!$C$12)</f>
      </c>
      <c r="E213" s="30">
        <f>IF(B213="","",IF(B213='계산기'!$C$7,C213,IF('계산기'!$C$8="원리금균등",IF('계산기'!$C$12=0,'계산기'!$C$5/'계산기'!$C$7,PMT('계산기'!$C$12,'계산기'!$C$7,-'계산기'!$C$5))-D213,IF('계산기'!$C$8="원금균등",'계산기'!$C$5/'계산기'!$C$7,0))))</f>
      </c>
      <c r="F213" s="30">
        <f>IF(B213="","",D213+E213)</f>
      </c>
      <c r="G213" s="30">
        <f>IF(B213="","",C213-E213)</f>
      </c>
    </row>
    <row r="214" spans="2:7" x14ac:dyDescent="0.25">
      <c r="B214" s="29">
        <f>IF(209&lt;='계산기'!$C$7,209,"")</f>
      </c>
      <c r="C214" s="30">
        <f>IF(B214="","",G213)</f>
      </c>
      <c r="D214" s="30">
        <f>IF(B214="","",C214*'계산기'!$C$12)</f>
      </c>
      <c r="E214" s="30">
        <f>IF(B214="","",IF(B214='계산기'!$C$7,C214,IF('계산기'!$C$8="원리금균등",IF('계산기'!$C$12=0,'계산기'!$C$5/'계산기'!$C$7,PMT('계산기'!$C$12,'계산기'!$C$7,-'계산기'!$C$5))-D214,IF('계산기'!$C$8="원금균등",'계산기'!$C$5/'계산기'!$C$7,0))))</f>
      </c>
      <c r="F214" s="30">
        <f>IF(B214="","",D214+E214)</f>
      </c>
      <c r="G214" s="30">
        <f>IF(B214="","",C214-E214)</f>
      </c>
    </row>
    <row r="215" spans="2:7" x14ac:dyDescent="0.25">
      <c r="B215" s="29">
        <f>IF(210&lt;='계산기'!$C$7,210,"")</f>
      </c>
      <c r="C215" s="30">
        <f>IF(B215="","",G214)</f>
      </c>
      <c r="D215" s="30">
        <f>IF(B215="","",C215*'계산기'!$C$12)</f>
      </c>
      <c r="E215" s="30">
        <f>IF(B215="","",IF(B215='계산기'!$C$7,C215,IF('계산기'!$C$8="원리금균등",IF('계산기'!$C$12=0,'계산기'!$C$5/'계산기'!$C$7,PMT('계산기'!$C$12,'계산기'!$C$7,-'계산기'!$C$5))-D215,IF('계산기'!$C$8="원금균등",'계산기'!$C$5/'계산기'!$C$7,0))))</f>
      </c>
      <c r="F215" s="30">
        <f>IF(B215="","",D215+E215)</f>
      </c>
      <c r="G215" s="30">
        <f>IF(B215="","",C215-E215)</f>
      </c>
    </row>
    <row r="216" spans="2:7" x14ac:dyDescent="0.25">
      <c r="B216" s="29">
        <f>IF(211&lt;='계산기'!$C$7,211,"")</f>
      </c>
      <c r="C216" s="30">
        <f>IF(B216="","",G215)</f>
      </c>
      <c r="D216" s="30">
        <f>IF(B216="","",C216*'계산기'!$C$12)</f>
      </c>
      <c r="E216" s="30">
        <f>IF(B216="","",IF(B216='계산기'!$C$7,C216,IF('계산기'!$C$8="원리금균등",IF('계산기'!$C$12=0,'계산기'!$C$5/'계산기'!$C$7,PMT('계산기'!$C$12,'계산기'!$C$7,-'계산기'!$C$5))-D216,IF('계산기'!$C$8="원금균등",'계산기'!$C$5/'계산기'!$C$7,0))))</f>
      </c>
      <c r="F216" s="30">
        <f>IF(B216="","",D216+E216)</f>
      </c>
      <c r="G216" s="30">
        <f>IF(B216="","",C216-E216)</f>
      </c>
    </row>
    <row r="217" spans="2:7" x14ac:dyDescent="0.25">
      <c r="B217" s="29">
        <f>IF(212&lt;='계산기'!$C$7,212,"")</f>
      </c>
      <c r="C217" s="30">
        <f>IF(B217="","",G216)</f>
      </c>
      <c r="D217" s="30">
        <f>IF(B217="","",C217*'계산기'!$C$12)</f>
      </c>
      <c r="E217" s="30">
        <f>IF(B217="","",IF(B217='계산기'!$C$7,C217,IF('계산기'!$C$8="원리금균등",IF('계산기'!$C$12=0,'계산기'!$C$5/'계산기'!$C$7,PMT('계산기'!$C$12,'계산기'!$C$7,-'계산기'!$C$5))-D217,IF('계산기'!$C$8="원금균등",'계산기'!$C$5/'계산기'!$C$7,0))))</f>
      </c>
      <c r="F217" s="30">
        <f>IF(B217="","",D217+E217)</f>
      </c>
      <c r="G217" s="30">
        <f>IF(B217="","",C217-E217)</f>
      </c>
    </row>
    <row r="218" spans="2:7" x14ac:dyDescent="0.25">
      <c r="B218" s="29">
        <f>IF(213&lt;='계산기'!$C$7,213,"")</f>
      </c>
      <c r="C218" s="30">
        <f>IF(B218="","",G217)</f>
      </c>
      <c r="D218" s="30">
        <f>IF(B218="","",C218*'계산기'!$C$12)</f>
      </c>
      <c r="E218" s="30">
        <f>IF(B218="","",IF(B218='계산기'!$C$7,C218,IF('계산기'!$C$8="원리금균등",IF('계산기'!$C$12=0,'계산기'!$C$5/'계산기'!$C$7,PMT('계산기'!$C$12,'계산기'!$C$7,-'계산기'!$C$5))-D218,IF('계산기'!$C$8="원금균등",'계산기'!$C$5/'계산기'!$C$7,0))))</f>
      </c>
      <c r="F218" s="30">
        <f>IF(B218="","",D218+E218)</f>
      </c>
      <c r="G218" s="30">
        <f>IF(B218="","",C218-E218)</f>
      </c>
    </row>
    <row r="219" spans="2:7" x14ac:dyDescent="0.25">
      <c r="B219" s="29">
        <f>IF(214&lt;='계산기'!$C$7,214,"")</f>
      </c>
      <c r="C219" s="30">
        <f>IF(B219="","",G218)</f>
      </c>
      <c r="D219" s="30">
        <f>IF(B219="","",C219*'계산기'!$C$12)</f>
      </c>
      <c r="E219" s="30">
        <f>IF(B219="","",IF(B219='계산기'!$C$7,C219,IF('계산기'!$C$8="원리금균등",IF('계산기'!$C$12=0,'계산기'!$C$5/'계산기'!$C$7,PMT('계산기'!$C$12,'계산기'!$C$7,-'계산기'!$C$5))-D219,IF('계산기'!$C$8="원금균등",'계산기'!$C$5/'계산기'!$C$7,0))))</f>
      </c>
      <c r="F219" s="30">
        <f>IF(B219="","",D219+E219)</f>
      </c>
      <c r="G219" s="30">
        <f>IF(B219="","",C219-E219)</f>
      </c>
    </row>
    <row r="220" spans="2:7" x14ac:dyDescent="0.25">
      <c r="B220" s="29">
        <f>IF(215&lt;='계산기'!$C$7,215,"")</f>
      </c>
      <c r="C220" s="30">
        <f>IF(B220="","",G219)</f>
      </c>
      <c r="D220" s="30">
        <f>IF(B220="","",C220*'계산기'!$C$12)</f>
      </c>
      <c r="E220" s="30">
        <f>IF(B220="","",IF(B220='계산기'!$C$7,C220,IF('계산기'!$C$8="원리금균등",IF('계산기'!$C$12=0,'계산기'!$C$5/'계산기'!$C$7,PMT('계산기'!$C$12,'계산기'!$C$7,-'계산기'!$C$5))-D220,IF('계산기'!$C$8="원금균등",'계산기'!$C$5/'계산기'!$C$7,0))))</f>
      </c>
      <c r="F220" s="30">
        <f>IF(B220="","",D220+E220)</f>
      </c>
      <c r="G220" s="30">
        <f>IF(B220="","",C220-E220)</f>
      </c>
    </row>
    <row r="221" spans="2:7" x14ac:dyDescent="0.25">
      <c r="B221" s="29">
        <f>IF(216&lt;='계산기'!$C$7,216,"")</f>
      </c>
      <c r="C221" s="30">
        <f>IF(B221="","",G220)</f>
      </c>
      <c r="D221" s="30">
        <f>IF(B221="","",C221*'계산기'!$C$12)</f>
      </c>
      <c r="E221" s="30">
        <f>IF(B221="","",IF(B221='계산기'!$C$7,C221,IF('계산기'!$C$8="원리금균등",IF('계산기'!$C$12=0,'계산기'!$C$5/'계산기'!$C$7,PMT('계산기'!$C$12,'계산기'!$C$7,-'계산기'!$C$5))-D221,IF('계산기'!$C$8="원금균등",'계산기'!$C$5/'계산기'!$C$7,0))))</f>
      </c>
      <c r="F221" s="30">
        <f>IF(B221="","",D221+E221)</f>
      </c>
      <c r="G221" s="30">
        <f>IF(B221="","",C221-E221)</f>
      </c>
    </row>
    <row r="222" spans="2:7" x14ac:dyDescent="0.25">
      <c r="B222" s="29">
        <f>IF(217&lt;='계산기'!$C$7,217,"")</f>
      </c>
      <c r="C222" s="30">
        <f>IF(B222="","",G221)</f>
      </c>
      <c r="D222" s="30">
        <f>IF(B222="","",C222*'계산기'!$C$12)</f>
      </c>
      <c r="E222" s="30">
        <f>IF(B222="","",IF(B222='계산기'!$C$7,C222,IF('계산기'!$C$8="원리금균등",IF('계산기'!$C$12=0,'계산기'!$C$5/'계산기'!$C$7,PMT('계산기'!$C$12,'계산기'!$C$7,-'계산기'!$C$5))-D222,IF('계산기'!$C$8="원금균등",'계산기'!$C$5/'계산기'!$C$7,0))))</f>
      </c>
      <c r="F222" s="30">
        <f>IF(B222="","",D222+E222)</f>
      </c>
      <c r="G222" s="30">
        <f>IF(B222="","",C222-E222)</f>
      </c>
    </row>
    <row r="223" spans="2:7" x14ac:dyDescent="0.25">
      <c r="B223" s="29">
        <f>IF(218&lt;='계산기'!$C$7,218,"")</f>
      </c>
      <c r="C223" s="30">
        <f>IF(B223="","",G222)</f>
      </c>
      <c r="D223" s="30">
        <f>IF(B223="","",C223*'계산기'!$C$12)</f>
      </c>
      <c r="E223" s="30">
        <f>IF(B223="","",IF(B223='계산기'!$C$7,C223,IF('계산기'!$C$8="원리금균등",IF('계산기'!$C$12=0,'계산기'!$C$5/'계산기'!$C$7,PMT('계산기'!$C$12,'계산기'!$C$7,-'계산기'!$C$5))-D223,IF('계산기'!$C$8="원금균등",'계산기'!$C$5/'계산기'!$C$7,0))))</f>
      </c>
      <c r="F223" s="30">
        <f>IF(B223="","",D223+E223)</f>
      </c>
      <c r="G223" s="30">
        <f>IF(B223="","",C223-E223)</f>
      </c>
    </row>
    <row r="224" spans="2:7" x14ac:dyDescent="0.25">
      <c r="B224" s="29">
        <f>IF(219&lt;='계산기'!$C$7,219,"")</f>
      </c>
      <c r="C224" s="30">
        <f>IF(B224="","",G223)</f>
      </c>
      <c r="D224" s="30">
        <f>IF(B224="","",C224*'계산기'!$C$12)</f>
      </c>
      <c r="E224" s="30">
        <f>IF(B224="","",IF(B224='계산기'!$C$7,C224,IF('계산기'!$C$8="원리금균등",IF('계산기'!$C$12=0,'계산기'!$C$5/'계산기'!$C$7,PMT('계산기'!$C$12,'계산기'!$C$7,-'계산기'!$C$5))-D224,IF('계산기'!$C$8="원금균등",'계산기'!$C$5/'계산기'!$C$7,0))))</f>
      </c>
      <c r="F224" s="30">
        <f>IF(B224="","",D224+E224)</f>
      </c>
      <c r="G224" s="30">
        <f>IF(B224="","",C224-E224)</f>
      </c>
    </row>
    <row r="225" spans="2:7" x14ac:dyDescent="0.25">
      <c r="B225" s="29">
        <f>IF(220&lt;='계산기'!$C$7,220,"")</f>
      </c>
      <c r="C225" s="30">
        <f>IF(B225="","",G224)</f>
      </c>
      <c r="D225" s="30">
        <f>IF(B225="","",C225*'계산기'!$C$12)</f>
      </c>
      <c r="E225" s="30">
        <f>IF(B225="","",IF(B225='계산기'!$C$7,C225,IF('계산기'!$C$8="원리금균등",IF('계산기'!$C$12=0,'계산기'!$C$5/'계산기'!$C$7,PMT('계산기'!$C$12,'계산기'!$C$7,-'계산기'!$C$5))-D225,IF('계산기'!$C$8="원금균등",'계산기'!$C$5/'계산기'!$C$7,0))))</f>
      </c>
      <c r="F225" s="30">
        <f>IF(B225="","",D225+E225)</f>
      </c>
      <c r="G225" s="30">
        <f>IF(B225="","",C225-E225)</f>
      </c>
    </row>
    <row r="226" spans="2:7" x14ac:dyDescent="0.25">
      <c r="B226" s="29">
        <f>IF(221&lt;='계산기'!$C$7,221,"")</f>
      </c>
      <c r="C226" s="30">
        <f>IF(B226="","",G225)</f>
      </c>
      <c r="D226" s="30">
        <f>IF(B226="","",C226*'계산기'!$C$12)</f>
      </c>
      <c r="E226" s="30">
        <f>IF(B226="","",IF(B226='계산기'!$C$7,C226,IF('계산기'!$C$8="원리금균등",IF('계산기'!$C$12=0,'계산기'!$C$5/'계산기'!$C$7,PMT('계산기'!$C$12,'계산기'!$C$7,-'계산기'!$C$5))-D226,IF('계산기'!$C$8="원금균등",'계산기'!$C$5/'계산기'!$C$7,0))))</f>
      </c>
      <c r="F226" s="30">
        <f>IF(B226="","",D226+E226)</f>
      </c>
      <c r="G226" s="30">
        <f>IF(B226="","",C226-E226)</f>
      </c>
    </row>
    <row r="227" spans="2:7" x14ac:dyDescent="0.25">
      <c r="B227" s="29">
        <f>IF(222&lt;='계산기'!$C$7,222,"")</f>
      </c>
      <c r="C227" s="30">
        <f>IF(B227="","",G226)</f>
      </c>
      <c r="D227" s="30">
        <f>IF(B227="","",C227*'계산기'!$C$12)</f>
      </c>
      <c r="E227" s="30">
        <f>IF(B227="","",IF(B227='계산기'!$C$7,C227,IF('계산기'!$C$8="원리금균등",IF('계산기'!$C$12=0,'계산기'!$C$5/'계산기'!$C$7,PMT('계산기'!$C$12,'계산기'!$C$7,-'계산기'!$C$5))-D227,IF('계산기'!$C$8="원금균등",'계산기'!$C$5/'계산기'!$C$7,0))))</f>
      </c>
      <c r="F227" s="30">
        <f>IF(B227="","",D227+E227)</f>
      </c>
      <c r="G227" s="30">
        <f>IF(B227="","",C227-E227)</f>
      </c>
    </row>
    <row r="228" spans="2:7" x14ac:dyDescent="0.25">
      <c r="B228" s="29">
        <f>IF(223&lt;='계산기'!$C$7,223,"")</f>
      </c>
      <c r="C228" s="30">
        <f>IF(B228="","",G227)</f>
      </c>
      <c r="D228" s="30">
        <f>IF(B228="","",C228*'계산기'!$C$12)</f>
      </c>
      <c r="E228" s="30">
        <f>IF(B228="","",IF(B228='계산기'!$C$7,C228,IF('계산기'!$C$8="원리금균등",IF('계산기'!$C$12=0,'계산기'!$C$5/'계산기'!$C$7,PMT('계산기'!$C$12,'계산기'!$C$7,-'계산기'!$C$5))-D228,IF('계산기'!$C$8="원금균등",'계산기'!$C$5/'계산기'!$C$7,0))))</f>
      </c>
      <c r="F228" s="30">
        <f>IF(B228="","",D228+E228)</f>
      </c>
      <c r="G228" s="30">
        <f>IF(B228="","",C228-E228)</f>
      </c>
    </row>
    <row r="229" spans="2:7" x14ac:dyDescent="0.25">
      <c r="B229" s="29">
        <f>IF(224&lt;='계산기'!$C$7,224,"")</f>
      </c>
      <c r="C229" s="30">
        <f>IF(B229="","",G228)</f>
      </c>
      <c r="D229" s="30">
        <f>IF(B229="","",C229*'계산기'!$C$12)</f>
      </c>
      <c r="E229" s="30">
        <f>IF(B229="","",IF(B229='계산기'!$C$7,C229,IF('계산기'!$C$8="원리금균등",IF('계산기'!$C$12=0,'계산기'!$C$5/'계산기'!$C$7,PMT('계산기'!$C$12,'계산기'!$C$7,-'계산기'!$C$5))-D229,IF('계산기'!$C$8="원금균등",'계산기'!$C$5/'계산기'!$C$7,0))))</f>
      </c>
      <c r="F229" s="30">
        <f>IF(B229="","",D229+E229)</f>
      </c>
      <c r="G229" s="30">
        <f>IF(B229="","",C229-E229)</f>
      </c>
    </row>
    <row r="230" spans="2:7" x14ac:dyDescent="0.25">
      <c r="B230" s="29">
        <f>IF(225&lt;='계산기'!$C$7,225,"")</f>
      </c>
      <c r="C230" s="30">
        <f>IF(B230="","",G229)</f>
      </c>
      <c r="D230" s="30">
        <f>IF(B230="","",C230*'계산기'!$C$12)</f>
      </c>
      <c r="E230" s="30">
        <f>IF(B230="","",IF(B230='계산기'!$C$7,C230,IF('계산기'!$C$8="원리금균등",IF('계산기'!$C$12=0,'계산기'!$C$5/'계산기'!$C$7,PMT('계산기'!$C$12,'계산기'!$C$7,-'계산기'!$C$5))-D230,IF('계산기'!$C$8="원금균등",'계산기'!$C$5/'계산기'!$C$7,0))))</f>
      </c>
      <c r="F230" s="30">
        <f>IF(B230="","",D230+E230)</f>
      </c>
      <c r="G230" s="30">
        <f>IF(B230="","",C230-E230)</f>
      </c>
    </row>
    <row r="231" spans="2:7" x14ac:dyDescent="0.25">
      <c r="B231" s="29">
        <f>IF(226&lt;='계산기'!$C$7,226,"")</f>
      </c>
      <c r="C231" s="30">
        <f>IF(B231="","",G230)</f>
      </c>
      <c r="D231" s="30">
        <f>IF(B231="","",C231*'계산기'!$C$12)</f>
      </c>
      <c r="E231" s="30">
        <f>IF(B231="","",IF(B231='계산기'!$C$7,C231,IF('계산기'!$C$8="원리금균등",IF('계산기'!$C$12=0,'계산기'!$C$5/'계산기'!$C$7,PMT('계산기'!$C$12,'계산기'!$C$7,-'계산기'!$C$5))-D231,IF('계산기'!$C$8="원금균등",'계산기'!$C$5/'계산기'!$C$7,0))))</f>
      </c>
      <c r="F231" s="30">
        <f>IF(B231="","",D231+E231)</f>
      </c>
      <c r="G231" s="30">
        <f>IF(B231="","",C231-E231)</f>
      </c>
    </row>
    <row r="232" spans="2:7" x14ac:dyDescent="0.25">
      <c r="B232" s="29">
        <f>IF(227&lt;='계산기'!$C$7,227,"")</f>
      </c>
      <c r="C232" s="30">
        <f>IF(B232="","",G231)</f>
      </c>
      <c r="D232" s="30">
        <f>IF(B232="","",C232*'계산기'!$C$12)</f>
      </c>
      <c r="E232" s="30">
        <f>IF(B232="","",IF(B232='계산기'!$C$7,C232,IF('계산기'!$C$8="원리금균등",IF('계산기'!$C$12=0,'계산기'!$C$5/'계산기'!$C$7,PMT('계산기'!$C$12,'계산기'!$C$7,-'계산기'!$C$5))-D232,IF('계산기'!$C$8="원금균등",'계산기'!$C$5/'계산기'!$C$7,0))))</f>
      </c>
      <c r="F232" s="30">
        <f>IF(B232="","",D232+E232)</f>
      </c>
      <c r="G232" s="30">
        <f>IF(B232="","",C232-E232)</f>
      </c>
    </row>
    <row r="233" spans="2:7" x14ac:dyDescent="0.25">
      <c r="B233" s="29">
        <f>IF(228&lt;='계산기'!$C$7,228,"")</f>
      </c>
      <c r="C233" s="30">
        <f>IF(B233="","",G232)</f>
      </c>
      <c r="D233" s="30">
        <f>IF(B233="","",C233*'계산기'!$C$12)</f>
      </c>
      <c r="E233" s="30">
        <f>IF(B233="","",IF(B233='계산기'!$C$7,C233,IF('계산기'!$C$8="원리금균등",IF('계산기'!$C$12=0,'계산기'!$C$5/'계산기'!$C$7,PMT('계산기'!$C$12,'계산기'!$C$7,-'계산기'!$C$5))-D233,IF('계산기'!$C$8="원금균등",'계산기'!$C$5/'계산기'!$C$7,0))))</f>
      </c>
      <c r="F233" s="30">
        <f>IF(B233="","",D233+E233)</f>
      </c>
      <c r="G233" s="30">
        <f>IF(B233="","",C233-E233)</f>
      </c>
    </row>
    <row r="234" spans="2:7" x14ac:dyDescent="0.25">
      <c r="B234" s="29">
        <f>IF(229&lt;='계산기'!$C$7,229,"")</f>
      </c>
      <c r="C234" s="30">
        <f>IF(B234="","",G233)</f>
      </c>
      <c r="D234" s="30">
        <f>IF(B234="","",C234*'계산기'!$C$12)</f>
      </c>
      <c r="E234" s="30">
        <f>IF(B234="","",IF(B234='계산기'!$C$7,C234,IF('계산기'!$C$8="원리금균등",IF('계산기'!$C$12=0,'계산기'!$C$5/'계산기'!$C$7,PMT('계산기'!$C$12,'계산기'!$C$7,-'계산기'!$C$5))-D234,IF('계산기'!$C$8="원금균등",'계산기'!$C$5/'계산기'!$C$7,0))))</f>
      </c>
      <c r="F234" s="30">
        <f>IF(B234="","",D234+E234)</f>
      </c>
      <c r="G234" s="30">
        <f>IF(B234="","",C234-E234)</f>
      </c>
    </row>
    <row r="235" spans="2:7" x14ac:dyDescent="0.25">
      <c r="B235" s="29">
        <f>IF(230&lt;='계산기'!$C$7,230,"")</f>
      </c>
      <c r="C235" s="30">
        <f>IF(B235="","",G234)</f>
      </c>
      <c r="D235" s="30">
        <f>IF(B235="","",C235*'계산기'!$C$12)</f>
      </c>
      <c r="E235" s="30">
        <f>IF(B235="","",IF(B235='계산기'!$C$7,C235,IF('계산기'!$C$8="원리금균등",IF('계산기'!$C$12=0,'계산기'!$C$5/'계산기'!$C$7,PMT('계산기'!$C$12,'계산기'!$C$7,-'계산기'!$C$5))-D235,IF('계산기'!$C$8="원금균등",'계산기'!$C$5/'계산기'!$C$7,0))))</f>
      </c>
      <c r="F235" s="30">
        <f>IF(B235="","",D235+E235)</f>
      </c>
      <c r="G235" s="30">
        <f>IF(B235="","",C235-E235)</f>
      </c>
    </row>
    <row r="236" spans="2:7" x14ac:dyDescent="0.25">
      <c r="B236" s="29">
        <f>IF(231&lt;='계산기'!$C$7,231,"")</f>
      </c>
      <c r="C236" s="30">
        <f>IF(B236="","",G235)</f>
      </c>
      <c r="D236" s="30">
        <f>IF(B236="","",C236*'계산기'!$C$12)</f>
      </c>
      <c r="E236" s="30">
        <f>IF(B236="","",IF(B236='계산기'!$C$7,C236,IF('계산기'!$C$8="원리금균등",IF('계산기'!$C$12=0,'계산기'!$C$5/'계산기'!$C$7,PMT('계산기'!$C$12,'계산기'!$C$7,-'계산기'!$C$5))-D236,IF('계산기'!$C$8="원금균등",'계산기'!$C$5/'계산기'!$C$7,0))))</f>
      </c>
      <c r="F236" s="30">
        <f>IF(B236="","",D236+E236)</f>
      </c>
      <c r="G236" s="30">
        <f>IF(B236="","",C236-E236)</f>
      </c>
    </row>
    <row r="237" spans="2:7" x14ac:dyDescent="0.25">
      <c r="B237" s="29">
        <f>IF(232&lt;='계산기'!$C$7,232,"")</f>
      </c>
      <c r="C237" s="30">
        <f>IF(B237="","",G236)</f>
      </c>
      <c r="D237" s="30">
        <f>IF(B237="","",C237*'계산기'!$C$12)</f>
      </c>
      <c r="E237" s="30">
        <f>IF(B237="","",IF(B237='계산기'!$C$7,C237,IF('계산기'!$C$8="원리금균등",IF('계산기'!$C$12=0,'계산기'!$C$5/'계산기'!$C$7,PMT('계산기'!$C$12,'계산기'!$C$7,-'계산기'!$C$5))-D237,IF('계산기'!$C$8="원금균등",'계산기'!$C$5/'계산기'!$C$7,0))))</f>
      </c>
      <c r="F237" s="30">
        <f>IF(B237="","",D237+E237)</f>
      </c>
      <c r="G237" s="30">
        <f>IF(B237="","",C237-E237)</f>
      </c>
    </row>
    <row r="238" spans="2:7" x14ac:dyDescent="0.25">
      <c r="B238" s="29">
        <f>IF(233&lt;='계산기'!$C$7,233,"")</f>
      </c>
      <c r="C238" s="30">
        <f>IF(B238="","",G237)</f>
      </c>
      <c r="D238" s="30">
        <f>IF(B238="","",C238*'계산기'!$C$12)</f>
      </c>
      <c r="E238" s="30">
        <f>IF(B238="","",IF(B238='계산기'!$C$7,C238,IF('계산기'!$C$8="원리금균등",IF('계산기'!$C$12=0,'계산기'!$C$5/'계산기'!$C$7,PMT('계산기'!$C$12,'계산기'!$C$7,-'계산기'!$C$5))-D238,IF('계산기'!$C$8="원금균등",'계산기'!$C$5/'계산기'!$C$7,0))))</f>
      </c>
      <c r="F238" s="30">
        <f>IF(B238="","",D238+E238)</f>
      </c>
      <c r="G238" s="30">
        <f>IF(B238="","",C238-E238)</f>
      </c>
    </row>
    <row r="239" spans="2:7" x14ac:dyDescent="0.25">
      <c r="B239" s="29">
        <f>IF(234&lt;='계산기'!$C$7,234,"")</f>
      </c>
      <c r="C239" s="30">
        <f>IF(B239="","",G238)</f>
      </c>
      <c r="D239" s="30">
        <f>IF(B239="","",C239*'계산기'!$C$12)</f>
      </c>
      <c r="E239" s="30">
        <f>IF(B239="","",IF(B239='계산기'!$C$7,C239,IF('계산기'!$C$8="원리금균등",IF('계산기'!$C$12=0,'계산기'!$C$5/'계산기'!$C$7,PMT('계산기'!$C$12,'계산기'!$C$7,-'계산기'!$C$5))-D239,IF('계산기'!$C$8="원금균등",'계산기'!$C$5/'계산기'!$C$7,0))))</f>
      </c>
      <c r="F239" s="30">
        <f>IF(B239="","",D239+E239)</f>
      </c>
      <c r="G239" s="30">
        <f>IF(B239="","",C239-E239)</f>
      </c>
    </row>
    <row r="240" spans="2:7" x14ac:dyDescent="0.25">
      <c r="B240" s="29">
        <f>IF(235&lt;='계산기'!$C$7,235,"")</f>
      </c>
      <c r="C240" s="30">
        <f>IF(B240="","",G239)</f>
      </c>
      <c r="D240" s="30">
        <f>IF(B240="","",C240*'계산기'!$C$12)</f>
      </c>
      <c r="E240" s="30">
        <f>IF(B240="","",IF(B240='계산기'!$C$7,C240,IF('계산기'!$C$8="원리금균등",IF('계산기'!$C$12=0,'계산기'!$C$5/'계산기'!$C$7,PMT('계산기'!$C$12,'계산기'!$C$7,-'계산기'!$C$5))-D240,IF('계산기'!$C$8="원금균등",'계산기'!$C$5/'계산기'!$C$7,0))))</f>
      </c>
      <c r="F240" s="30">
        <f>IF(B240="","",D240+E240)</f>
      </c>
      <c r="G240" s="30">
        <f>IF(B240="","",C240-E240)</f>
      </c>
    </row>
    <row r="241" spans="2:7" x14ac:dyDescent="0.25">
      <c r="B241" s="29">
        <f>IF(236&lt;='계산기'!$C$7,236,"")</f>
      </c>
      <c r="C241" s="30">
        <f>IF(B241="","",G240)</f>
      </c>
      <c r="D241" s="30">
        <f>IF(B241="","",C241*'계산기'!$C$12)</f>
      </c>
      <c r="E241" s="30">
        <f>IF(B241="","",IF(B241='계산기'!$C$7,C241,IF('계산기'!$C$8="원리금균등",IF('계산기'!$C$12=0,'계산기'!$C$5/'계산기'!$C$7,PMT('계산기'!$C$12,'계산기'!$C$7,-'계산기'!$C$5))-D241,IF('계산기'!$C$8="원금균등",'계산기'!$C$5/'계산기'!$C$7,0))))</f>
      </c>
      <c r="F241" s="30">
        <f>IF(B241="","",D241+E241)</f>
      </c>
      <c r="G241" s="30">
        <f>IF(B241="","",C241-E241)</f>
      </c>
    </row>
    <row r="242" spans="2:7" x14ac:dyDescent="0.25">
      <c r="B242" s="29">
        <f>IF(237&lt;='계산기'!$C$7,237,"")</f>
      </c>
      <c r="C242" s="30">
        <f>IF(B242="","",G241)</f>
      </c>
      <c r="D242" s="30">
        <f>IF(B242="","",C242*'계산기'!$C$12)</f>
      </c>
      <c r="E242" s="30">
        <f>IF(B242="","",IF(B242='계산기'!$C$7,C242,IF('계산기'!$C$8="원리금균등",IF('계산기'!$C$12=0,'계산기'!$C$5/'계산기'!$C$7,PMT('계산기'!$C$12,'계산기'!$C$7,-'계산기'!$C$5))-D242,IF('계산기'!$C$8="원금균등",'계산기'!$C$5/'계산기'!$C$7,0))))</f>
      </c>
      <c r="F242" s="30">
        <f>IF(B242="","",D242+E242)</f>
      </c>
      <c r="G242" s="30">
        <f>IF(B242="","",C242-E242)</f>
      </c>
    </row>
    <row r="243" spans="2:7" x14ac:dyDescent="0.25">
      <c r="B243" s="29">
        <f>IF(238&lt;='계산기'!$C$7,238,"")</f>
      </c>
      <c r="C243" s="30">
        <f>IF(B243="","",G242)</f>
      </c>
      <c r="D243" s="30">
        <f>IF(B243="","",C243*'계산기'!$C$12)</f>
      </c>
      <c r="E243" s="30">
        <f>IF(B243="","",IF(B243='계산기'!$C$7,C243,IF('계산기'!$C$8="원리금균등",IF('계산기'!$C$12=0,'계산기'!$C$5/'계산기'!$C$7,PMT('계산기'!$C$12,'계산기'!$C$7,-'계산기'!$C$5))-D243,IF('계산기'!$C$8="원금균등",'계산기'!$C$5/'계산기'!$C$7,0))))</f>
      </c>
      <c r="F243" s="30">
        <f>IF(B243="","",D243+E243)</f>
      </c>
      <c r="G243" s="30">
        <f>IF(B243="","",C243-E243)</f>
      </c>
    </row>
    <row r="244" spans="2:7" x14ac:dyDescent="0.25">
      <c r="B244" s="29">
        <f>IF(239&lt;='계산기'!$C$7,239,"")</f>
      </c>
      <c r="C244" s="30">
        <f>IF(B244="","",G243)</f>
      </c>
      <c r="D244" s="30">
        <f>IF(B244="","",C244*'계산기'!$C$12)</f>
      </c>
      <c r="E244" s="30">
        <f>IF(B244="","",IF(B244='계산기'!$C$7,C244,IF('계산기'!$C$8="원리금균등",IF('계산기'!$C$12=0,'계산기'!$C$5/'계산기'!$C$7,PMT('계산기'!$C$12,'계산기'!$C$7,-'계산기'!$C$5))-D244,IF('계산기'!$C$8="원금균등",'계산기'!$C$5/'계산기'!$C$7,0))))</f>
      </c>
      <c r="F244" s="30">
        <f>IF(B244="","",D244+E244)</f>
      </c>
      <c r="G244" s="30">
        <f>IF(B244="","",C244-E244)</f>
      </c>
    </row>
    <row r="245" spans="2:7" x14ac:dyDescent="0.25">
      <c r="B245" s="29">
        <f>IF(240&lt;='계산기'!$C$7,240,"")</f>
      </c>
      <c r="C245" s="30">
        <f>IF(B245="","",G244)</f>
      </c>
      <c r="D245" s="30">
        <f>IF(B245="","",C245*'계산기'!$C$12)</f>
      </c>
      <c r="E245" s="30">
        <f>IF(B245="","",IF(B245='계산기'!$C$7,C245,IF('계산기'!$C$8="원리금균등",IF('계산기'!$C$12=0,'계산기'!$C$5/'계산기'!$C$7,PMT('계산기'!$C$12,'계산기'!$C$7,-'계산기'!$C$5))-D245,IF('계산기'!$C$8="원금균등",'계산기'!$C$5/'계산기'!$C$7,0))))</f>
      </c>
      <c r="F245" s="30">
        <f>IF(B245="","",D245+E245)</f>
      </c>
      <c r="G245" s="30">
        <f>IF(B245="","",C245-E245)</f>
      </c>
    </row>
    <row r="246" spans="2:7" x14ac:dyDescent="0.25">
      <c r="B246" s="29">
        <f>IF(241&lt;='계산기'!$C$7,241,"")</f>
      </c>
      <c r="C246" s="30">
        <f>IF(B246="","",G245)</f>
      </c>
      <c r="D246" s="30">
        <f>IF(B246="","",C246*'계산기'!$C$12)</f>
      </c>
      <c r="E246" s="30">
        <f>IF(B246="","",IF(B246='계산기'!$C$7,C246,IF('계산기'!$C$8="원리금균등",IF('계산기'!$C$12=0,'계산기'!$C$5/'계산기'!$C$7,PMT('계산기'!$C$12,'계산기'!$C$7,-'계산기'!$C$5))-D246,IF('계산기'!$C$8="원금균등",'계산기'!$C$5/'계산기'!$C$7,0))))</f>
      </c>
      <c r="F246" s="30">
        <f>IF(B246="","",D246+E246)</f>
      </c>
      <c r="G246" s="30">
        <f>IF(B246="","",C246-E246)</f>
      </c>
    </row>
    <row r="247" spans="2:7" x14ac:dyDescent="0.25">
      <c r="B247" s="29">
        <f>IF(242&lt;='계산기'!$C$7,242,"")</f>
      </c>
      <c r="C247" s="30">
        <f>IF(B247="","",G246)</f>
      </c>
      <c r="D247" s="30">
        <f>IF(B247="","",C247*'계산기'!$C$12)</f>
      </c>
      <c r="E247" s="30">
        <f>IF(B247="","",IF(B247='계산기'!$C$7,C247,IF('계산기'!$C$8="원리금균등",IF('계산기'!$C$12=0,'계산기'!$C$5/'계산기'!$C$7,PMT('계산기'!$C$12,'계산기'!$C$7,-'계산기'!$C$5))-D247,IF('계산기'!$C$8="원금균등",'계산기'!$C$5/'계산기'!$C$7,0))))</f>
      </c>
      <c r="F247" s="30">
        <f>IF(B247="","",D247+E247)</f>
      </c>
      <c r="G247" s="30">
        <f>IF(B247="","",C247-E247)</f>
      </c>
    </row>
    <row r="248" spans="2:7" x14ac:dyDescent="0.25">
      <c r="B248" s="29">
        <f>IF(243&lt;='계산기'!$C$7,243,"")</f>
      </c>
      <c r="C248" s="30">
        <f>IF(B248="","",G247)</f>
      </c>
      <c r="D248" s="30">
        <f>IF(B248="","",C248*'계산기'!$C$12)</f>
      </c>
      <c r="E248" s="30">
        <f>IF(B248="","",IF(B248='계산기'!$C$7,C248,IF('계산기'!$C$8="원리금균등",IF('계산기'!$C$12=0,'계산기'!$C$5/'계산기'!$C$7,PMT('계산기'!$C$12,'계산기'!$C$7,-'계산기'!$C$5))-D248,IF('계산기'!$C$8="원금균등",'계산기'!$C$5/'계산기'!$C$7,0))))</f>
      </c>
      <c r="F248" s="30">
        <f>IF(B248="","",D248+E248)</f>
      </c>
      <c r="G248" s="30">
        <f>IF(B248="","",C248-E248)</f>
      </c>
    </row>
    <row r="249" spans="2:7" x14ac:dyDescent="0.25">
      <c r="B249" s="29">
        <f>IF(244&lt;='계산기'!$C$7,244,"")</f>
      </c>
      <c r="C249" s="30">
        <f>IF(B249="","",G248)</f>
      </c>
      <c r="D249" s="30">
        <f>IF(B249="","",C249*'계산기'!$C$12)</f>
      </c>
      <c r="E249" s="30">
        <f>IF(B249="","",IF(B249='계산기'!$C$7,C249,IF('계산기'!$C$8="원리금균등",IF('계산기'!$C$12=0,'계산기'!$C$5/'계산기'!$C$7,PMT('계산기'!$C$12,'계산기'!$C$7,-'계산기'!$C$5))-D249,IF('계산기'!$C$8="원금균등",'계산기'!$C$5/'계산기'!$C$7,0))))</f>
      </c>
      <c r="F249" s="30">
        <f>IF(B249="","",D249+E249)</f>
      </c>
      <c r="G249" s="30">
        <f>IF(B249="","",C249-E249)</f>
      </c>
    </row>
    <row r="250" spans="2:7" x14ac:dyDescent="0.25">
      <c r="B250" s="29">
        <f>IF(245&lt;='계산기'!$C$7,245,"")</f>
      </c>
      <c r="C250" s="30">
        <f>IF(B250="","",G249)</f>
      </c>
      <c r="D250" s="30">
        <f>IF(B250="","",C250*'계산기'!$C$12)</f>
      </c>
      <c r="E250" s="30">
        <f>IF(B250="","",IF(B250='계산기'!$C$7,C250,IF('계산기'!$C$8="원리금균등",IF('계산기'!$C$12=0,'계산기'!$C$5/'계산기'!$C$7,PMT('계산기'!$C$12,'계산기'!$C$7,-'계산기'!$C$5))-D250,IF('계산기'!$C$8="원금균등",'계산기'!$C$5/'계산기'!$C$7,0))))</f>
      </c>
      <c r="F250" s="30">
        <f>IF(B250="","",D250+E250)</f>
      </c>
      <c r="G250" s="30">
        <f>IF(B250="","",C250-E250)</f>
      </c>
    </row>
    <row r="251" spans="2:7" x14ac:dyDescent="0.25">
      <c r="B251" s="29">
        <f>IF(246&lt;='계산기'!$C$7,246,"")</f>
      </c>
      <c r="C251" s="30">
        <f>IF(B251="","",G250)</f>
      </c>
      <c r="D251" s="30">
        <f>IF(B251="","",C251*'계산기'!$C$12)</f>
      </c>
      <c r="E251" s="30">
        <f>IF(B251="","",IF(B251='계산기'!$C$7,C251,IF('계산기'!$C$8="원리금균등",IF('계산기'!$C$12=0,'계산기'!$C$5/'계산기'!$C$7,PMT('계산기'!$C$12,'계산기'!$C$7,-'계산기'!$C$5))-D251,IF('계산기'!$C$8="원금균등",'계산기'!$C$5/'계산기'!$C$7,0))))</f>
      </c>
      <c r="F251" s="30">
        <f>IF(B251="","",D251+E251)</f>
      </c>
      <c r="G251" s="30">
        <f>IF(B251="","",C251-E251)</f>
      </c>
    </row>
    <row r="252" spans="2:7" x14ac:dyDescent="0.25">
      <c r="B252" s="29">
        <f>IF(247&lt;='계산기'!$C$7,247,"")</f>
      </c>
      <c r="C252" s="30">
        <f>IF(B252="","",G251)</f>
      </c>
      <c r="D252" s="30">
        <f>IF(B252="","",C252*'계산기'!$C$12)</f>
      </c>
      <c r="E252" s="30">
        <f>IF(B252="","",IF(B252='계산기'!$C$7,C252,IF('계산기'!$C$8="원리금균등",IF('계산기'!$C$12=0,'계산기'!$C$5/'계산기'!$C$7,PMT('계산기'!$C$12,'계산기'!$C$7,-'계산기'!$C$5))-D252,IF('계산기'!$C$8="원금균등",'계산기'!$C$5/'계산기'!$C$7,0))))</f>
      </c>
      <c r="F252" s="30">
        <f>IF(B252="","",D252+E252)</f>
      </c>
      <c r="G252" s="30">
        <f>IF(B252="","",C252-E252)</f>
      </c>
    </row>
    <row r="253" spans="2:7" x14ac:dyDescent="0.25">
      <c r="B253" s="29">
        <f>IF(248&lt;='계산기'!$C$7,248,"")</f>
      </c>
      <c r="C253" s="30">
        <f>IF(B253="","",G252)</f>
      </c>
      <c r="D253" s="30">
        <f>IF(B253="","",C253*'계산기'!$C$12)</f>
      </c>
      <c r="E253" s="30">
        <f>IF(B253="","",IF(B253='계산기'!$C$7,C253,IF('계산기'!$C$8="원리금균등",IF('계산기'!$C$12=0,'계산기'!$C$5/'계산기'!$C$7,PMT('계산기'!$C$12,'계산기'!$C$7,-'계산기'!$C$5))-D253,IF('계산기'!$C$8="원금균등",'계산기'!$C$5/'계산기'!$C$7,0))))</f>
      </c>
      <c r="F253" s="30">
        <f>IF(B253="","",D253+E253)</f>
      </c>
      <c r="G253" s="30">
        <f>IF(B253="","",C253-E253)</f>
      </c>
    </row>
    <row r="254" spans="2:7" x14ac:dyDescent="0.25">
      <c r="B254" s="29">
        <f>IF(249&lt;='계산기'!$C$7,249,"")</f>
      </c>
      <c r="C254" s="30">
        <f>IF(B254="","",G253)</f>
      </c>
      <c r="D254" s="30">
        <f>IF(B254="","",C254*'계산기'!$C$12)</f>
      </c>
      <c r="E254" s="30">
        <f>IF(B254="","",IF(B254='계산기'!$C$7,C254,IF('계산기'!$C$8="원리금균등",IF('계산기'!$C$12=0,'계산기'!$C$5/'계산기'!$C$7,PMT('계산기'!$C$12,'계산기'!$C$7,-'계산기'!$C$5))-D254,IF('계산기'!$C$8="원금균등",'계산기'!$C$5/'계산기'!$C$7,0))))</f>
      </c>
      <c r="F254" s="30">
        <f>IF(B254="","",D254+E254)</f>
      </c>
      <c r="G254" s="30">
        <f>IF(B254="","",C254-E254)</f>
      </c>
    </row>
    <row r="255" spans="2:7" x14ac:dyDescent="0.25">
      <c r="B255" s="29">
        <f>IF(250&lt;='계산기'!$C$7,250,"")</f>
      </c>
      <c r="C255" s="30">
        <f>IF(B255="","",G254)</f>
      </c>
      <c r="D255" s="30">
        <f>IF(B255="","",C255*'계산기'!$C$12)</f>
      </c>
      <c r="E255" s="30">
        <f>IF(B255="","",IF(B255='계산기'!$C$7,C255,IF('계산기'!$C$8="원리금균등",IF('계산기'!$C$12=0,'계산기'!$C$5/'계산기'!$C$7,PMT('계산기'!$C$12,'계산기'!$C$7,-'계산기'!$C$5))-D255,IF('계산기'!$C$8="원금균등",'계산기'!$C$5/'계산기'!$C$7,0))))</f>
      </c>
      <c r="F255" s="30">
        <f>IF(B255="","",D255+E255)</f>
      </c>
      <c r="G255" s="30">
        <f>IF(B255="","",C255-E255)</f>
      </c>
    </row>
    <row r="256" spans="2:7" x14ac:dyDescent="0.25">
      <c r="B256" s="29">
        <f>IF(251&lt;='계산기'!$C$7,251,"")</f>
      </c>
      <c r="C256" s="30">
        <f>IF(B256="","",G255)</f>
      </c>
      <c r="D256" s="30">
        <f>IF(B256="","",C256*'계산기'!$C$12)</f>
      </c>
      <c r="E256" s="30">
        <f>IF(B256="","",IF(B256='계산기'!$C$7,C256,IF('계산기'!$C$8="원리금균등",IF('계산기'!$C$12=0,'계산기'!$C$5/'계산기'!$C$7,PMT('계산기'!$C$12,'계산기'!$C$7,-'계산기'!$C$5))-D256,IF('계산기'!$C$8="원금균등",'계산기'!$C$5/'계산기'!$C$7,0))))</f>
      </c>
      <c r="F256" s="30">
        <f>IF(B256="","",D256+E256)</f>
      </c>
      <c r="G256" s="30">
        <f>IF(B256="","",C256-E256)</f>
      </c>
    </row>
    <row r="257" spans="2:7" x14ac:dyDescent="0.25">
      <c r="B257" s="29">
        <f>IF(252&lt;='계산기'!$C$7,252,"")</f>
      </c>
      <c r="C257" s="30">
        <f>IF(B257="","",G256)</f>
      </c>
      <c r="D257" s="30">
        <f>IF(B257="","",C257*'계산기'!$C$12)</f>
      </c>
      <c r="E257" s="30">
        <f>IF(B257="","",IF(B257='계산기'!$C$7,C257,IF('계산기'!$C$8="원리금균등",IF('계산기'!$C$12=0,'계산기'!$C$5/'계산기'!$C$7,PMT('계산기'!$C$12,'계산기'!$C$7,-'계산기'!$C$5))-D257,IF('계산기'!$C$8="원금균등",'계산기'!$C$5/'계산기'!$C$7,0))))</f>
      </c>
      <c r="F257" s="30">
        <f>IF(B257="","",D257+E257)</f>
      </c>
      <c r="G257" s="30">
        <f>IF(B257="","",C257-E257)</f>
      </c>
    </row>
    <row r="258" spans="2:7" x14ac:dyDescent="0.25">
      <c r="B258" s="29">
        <f>IF(253&lt;='계산기'!$C$7,253,"")</f>
      </c>
      <c r="C258" s="30">
        <f>IF(B258="","",G257)</f>
      </c>
      <c r="D258" s="30">
        <f>IF(B258="","",C258*'계산기'!$C$12)</f>
      </c>
      <c r="E258" s="30">
        <f>IF(B258="","",IF(B258='계산기'!$C$7,C258,IF('계산기'!$C$8="원리금균등",IF('계산기'!$C$12=0,'계산기'!$C$5/'계산기'!$C$7,PMT('계산기'!$C$12,'계산기'!$C$7,-'계산기'!$C$5))-D258,IF('계산기'!$C$8="원금균등",'계산기'!$C$5/'계산기'!$C$7,0))))</f>
      </c>
      <c r="F258" s="30">
        <f>IF(B258="","",D258+E258)</f>
      </c>
      <c r="G258" s="30">
        <f>IF(B258="","",C258-E258)</f>
      </c>
    </row>
    <row r="259" spans="2:7" x14ac:dyDescent="0.25">
      <c r="B259" s="29">
        <f>IF(254&lt;='계산기'!$C$7,254,"")</f>
      </c>
      <c r="C259" s="30">
        <f>IF(B259="","",G258)</f>
      </c>
      <c r="D259" s="30">
        <f>IF(B259="","",C259*'계산기'!$C$12)</f>
      </c>
      <c r="E259" s="30">
        <f>IF(B259="","",IF(B259='계산기'!$C$7,C259,IF('계산기'!$C$8="원리금균등",IF('계산기'!$C$12=0,'계산기'!$C$5/'계산기'!$C$7,PMT('계산기'!$C$12,'계산기'!$C$7,-'계산기'!$C$5))-D259,IF('계산기'!$C$8="원금균등",'계산기'!$C$5/'계산기'!$C$7,0))))</f>
      </c>
      <c r="F259" s="30">
        <f>IF(B259="","",D259+E259)</f>
      </c>
      <c r="G259" s="30">
        <f>IF(B259="","",C259-E259)</f>
      </c>
    </row>
    <row r="260" spans="2:7" x14ac:dyDescent="0.25">
      <c r="B260" s="29">
        <f>IF(255&lt;='계산기'!$C$7,255,"")</f>
      </c>
      <c r="C260" s="30">
        <f>IF(B260="","",G259)</f>
      </c>
      <c r="D260" s="30">
        <f>IF(B260="","",C260*'계산기'!$C$12)</f>
      </c>
      <c r="E260" s="30">
        <f>IF(B260="","",IF(B260='계산기'!$C$7,C260,IF('계산기'!$C$8="원리금균등",IF('계산기'!$C$12=0,'계산기'!$C$5/'계산기'!$C$7,PMT('계산기'!$C$12,'계산기'!$C$7,-'계산기'!$C$5))-D260,IF('계산기'!$C$8="원금균등",'계산기'!$C$5/'계산기'!$C$7,0))))</f>
      </c>
      <c r="F260" s="30">
        <f>IF(B260="","",D260+E260)</f>
      </c>
      <c r="G260" s="30">
        <f>IF(B260="","",C260-E260)</f>
      </c>
    </row>
    <row r="261" spans="2:7" x14ac:dyDescent="0.25">
      <c r="B261" s="29">
        <f>IF(256&lt;='계산기'!$C$7,256,"")</f>
      </c>
      <c r="C261" s="30">
        <f>IF(B261="","",G260)</f>
      </c>
      <c r="D261" s="30">
        <f>IF(B261="","",C261*'계산기'!$C$12)</f>
      </c>
      <c r="E261" s="30">
        <f>IF(B261="","",IF(B261='계산기'!$C$7,C261,IF('계산기'!$C$8="원리금균등",IF('계산기'!$C$12=0,'계산기'!$C$5/'계산기'!$C$7,PMT('계산기'!$C$12,'계산기'!$C$7,-'계산기'!$C$5))-D261,IF('계산기'!$C$8="원금균등",'계산기'!$C$5/'계산기'!$C$7,0))))</f>
      </c>
      <c r="F261" s="30">
        <f>IF(B261="","",D261+E261)</f>
      </c>
      <c r="G261" s="30">
        <f>IF(B261="","",C261-E261)</f>
      </c>
    </row>
    <row r="262" spans="2:7" x14ac:dyDescent="0.25">
      <c r="B262" s="29">
        <f>IF(257&lt;='계산기'!$C$7,257,"")</f>
      </c>
      <c r="C262" s="30">
        <f>IF(B262="","",G261)</f>
      </c>
      <c r="D262" s="30">
        <f>IF(B262="","",C262*'계산기'!$C$12)</f>
      </c>
      <c r="E262" s="30">
        <f>IF(B262="","",IF(B262='계산기'!$C$7,C262,IF('계산기'!$C$8="원리금균등",IF('계산기'!$C$12=0,'계산기'!$C$5/'계산기'!$C$7,PMT('계산기'!$C$12,'계산기'!$C$7,-'계산기'!$C$5))-D262,IF('계산기'!$C$8="원금균등",'계산기'!$C$5/'계산기'!$C$7,0))))</f>
      </c>
      <c r="F262" s="30">
        <f>IF(B262="","",D262+E262)</f>
      </c>
      <c r="G262" s="30">
        <f>IF(B262="","",C262-E262)</f>
      </c>
    </row>
    <row r="263" spans="2:7" x14ac:dyDescent="0.25">
      <c r="B263" s="29">
        <f>IF(258&lt;='계산기'!$C$7,258,"")</f>
      </c>
      <c r="C263" s="30">
        <f>IF(B263="","",G262)</f>
      </c>
      <c r="D263" s="30">
        <f>IF(B263="","",C263*'계산기'!$C$12)</f>
      </c>
      <c r="E263" s="30">
        <f>IF(B263="","",IF(B263='계산기'!$C$7,C263,IF('계산기'!$C$8="원리금균등",IF('계산기'!$C$12=0,'계산기'!$C$5/'계산기'!$C$7,PMT('계산기'!$C$12,'계산기'!$C$7,-'계산기'!$C$5))-D263,IF('계산기'!$C$8="원금균등",'계산기'!$C$5/'계산기'!$C$7,0))))</f>
      </c>
      <c r="F263" s="30">
        <f>IF(B263="","",D263+E263)</f>
      </c>
      <c r="G263" s="30">
        <f>IF(B263="","",C263-E263)</f>
      </c>
    </row>
    <row r="264" spans="2:7" x14ac:dyDescent="0.25">
      <c r="B264" s="29">
        <f>IF(259&lt;='계산기'!$C$7,259,"")</f>
      </c>
      <c r="C264" s="30">
        <f>IF(B264="","",G263)</f>
      </c>
      <c r="D264" s="30">
        <f>IF(B264="","",C264*'계산기'!$C$12)</f>
      </c>
      <c r="E264" s="30">
        <f>IF(B264="","",IF(B264='계산기'!$C$7,C264,IF('계산기'!$C$8="원리금균등",IF('계산기'!$C$12=0,'계산기'!$C$5/'계산기'!$C$7,PMT('계산기'!$C$12,'계산기'!$C$7,-'계산기'!$C$5))-D264,IF('계산기'!$C$8="원금균등",'계산기'!$C$5/'계산기'!$C$7,0))))</f>
      </c>
      <c r="F264" s="30">
        <f>IF(B264="","",D264+E264)</f>
      </c>
      <c r="G264" s="30">
        <f>IF(B264="","",C264-E264)</f>
      </c>
    </row>
    <row r="265" spans="2:7" x14ac:dyDescent="0.25">
      <c r="B265" s="29">
        <f>IF(260&lt;='계산기'!$C$7,260,"")</f>
      </c>
      <c r="C265" s="30">
        <f>IF(B265="","",G264)</f>
      </c>
      <c r="D265" s="30">
        <f>IF(B265="","",C265*'계산기'!$C$12)</f>
      </c>
      <c r="E265" s="30">
        <f>IF(B265="","",IF(B265='계산기'!$C$7,C265,IF('계산기'!$C$8="원리금균등",IF('계산기'!$C$12=0,'계산기'!$C$5/'계산기'!$C$7,PMT('계산기'!$C$12,'계산기'!$C$7,-'계산기'!$C$5))-D265,IF('계산기'!$C$8="원금균등",'계산기'!$C$5/'계산기'!$C$7,0))))</f>
      </c>
      <c r="F265" s="30">
        <f>IF(B265="","",D265+E265)</f>
      </c>
      <c r="G265" s="30">
        <f>IF(B265="","",C265-E265)</f>
      </c>
    </row>
    <row r="266" spans="2:7" x14ac:dyDescent="0.25">
      <c r="B266" s="29">
        <f>IF(261&lt;='계산기'!$C$7,261,"")</f>
      </c>
      <c r="C266" s="30">
        <f>IF(B266="","",G265)</f>
      </c>
      <c r="D266" s="30">
        <f>IF(B266="","",C266*'계산기'!$C$12)</f>
      </c>
      <c r="E266" s="30">
        <f>IF(B266="","",IF(B266='계산기'!$C$7,C266,IF('계산기'!$C$8="원리금균등",IF('계산기'!$C$12=0,'계산기'!$C$5/'계산기'!$C$7,PMT('계산기'!$C$12,'계산기'!$C$7,-'계산기'!$C$5))-D266,IF('계산기'!$C$8="원금균등",'계산기'!$C$5/'계산기'!$C$7,0))))</f>
      </c>
      <c r="F266" s="30">
        <f>IF(B266="","",D266+E266)</f>
      </c>
      <c r="G266" s="30">
        <f>IF(B266="","",C266-E266)</f>
      </c>
    </row>
    <row r="267" spans="2:7" x14ac:dyDescent="0.25">
      <c r="B267" s="29">
        <f>IF(262&lt;='계산기'!$C$7,262,"")</f>
      </c>
      <c r="C267" s="30">
        <f>IF(B267="","",G266)</f>
      </c>
      <c r="D267" s="30">
        <f>IF(B267="","",C267*'계산기'!$C$12)</f>
      </c>
      <c r="E267" s="30">
        <f>IF(B267="","",IF(B267='계산기'!$C$7,C267,IF('계산기'!$C$8="원리금균등",IF('계산기'!$C$12=0,'계산기'!$C$5/'계산기'!$C$7,PMT('계산기'!$C$12,'계산기'!$C$7,-'계산기'!$C$5))-D267,IF('계산기'!$C$8="원금균등",'계산기'!$C$5/'계산기'!$C$7,0))))</f>
      </c>
      <c r="F267" s="30">
        <f>IF(B267="","",D267+E267)</f>
      </c>
      <c r="G267" s="30">
        <f>IF(B267="","",C267-E267)</f>
      </c>
    </row>
    <row r="268" spans="2:7" x14ac:dyDescent="0.25">
      <c r="B268" s="29">
        <f>IF(263&lt;='계산기'!$C$7,263,"")</f>
      </c>
      <c r="C268" s="30">
        <f>IF(B268="","",G267)</f>
      </c>
      <c r="D268" s="30">
        <f>IF(B268="","",C268*'계산기'!$C$12)</f>
      </c>
      <c r="E268" s="30">
        <f>IF(B268="","",IF(B268='계산기'!$C$7,C268,IF('계산기'!$C$8="원리금균등",IF('계산기'!$C$12=0,'계산기'!$C$5/'계산기'!$C$7,PMT('계산기'!$C$12,'계산기'!$C$7,-'계산기'!$C$5))-D268,IF('계산기'!$C$8="원금균등",'계산기'!$C$5/'계산기'!$C$7,0))))</f>
      </c>
      <c r="F268" s="30">
        <f>IF(B268="","",D268+E268)</f>
      </c>
      <c r="G268" s="30">
        <f>IF(B268="","",C268-E268)</f>
      </c>
    </row>
    <row r="269" spans="2:7" x14ac:dyDescent="0.25">
      <c r="B269" s="29">
        <f>IF(264&lt;='계산기'!$C$7,264,"")</f>
      </c>
      <c r="C269" s="30">
        <f>IF(B269="","",G268)</f>
      </c>
      <c r="D269" s="30">
        <f>IF(B269="","",C269*'계산기'!$C$12)</f>
      </c>
      <c r="E269" s="30">
        <f>IF(B269="","",IF(B269='계산기'!$C$7,C269,IF('계산기'!$C$8="원리금균등",IF('계산기'!$C$12=0,'계산기'!$C$5/'계산기'!$C$7,PMT('계산기'!$C$12,'계산기'!$C$7,-'계산기'!$C$5))-D269,IF('계산기'!$C$8="원금균등",'계산기'!$C$5/'계산기'!$C$7,0))))</f>
      </c>
      <c r="F269" s="30">
        <f>IF(B269="","",D269+E269)</f>
      </c>
      <c r="G269" s="30">
        <f>IF(B269="","",C269-E269)</f>
      </c>
    </row>
    <row r="270" spans="2:7" x14ac:dyDescent="0.25">
      <c r="B270" s="29">
        <f>IF(265&lt;='계산기'!$C$7,265,"")</f>
      </c>
      <c r="C270" s="30">
        <f>IF(B270="","",G269)</f>
      </c>
      <c r="D270" s="30">
        <f>IF(B270="","",C270*'계산기'!$C$12)</f>
      </c>
      <c r="E270" s="30">
        <f>IF(B270="","",IF(B270='계산기'!$C$7,C270,IF('계산기'!$C$8="원리금균등",IF('계산기'!$C$12=0,'계산기'!$C$5/'계산기'!$C$7,PMT('계산기'!$C$12,'계산기'!$C$7,-'계산기'!$C$5))-D270,IF('계산기'!$C$8="원금균등",'계산기'!$C$5/'계산기'!$C$7,0))))</f>
      </c>
      <c r="F270" s="30">
        <f>IF(B270="","",D270+E270)</f>
      </c>
      <c r="G270" s="30">
        <f>IF(B270="","",C270-E270)</f>
      </c>
    </row>
    <row r="271" spans="2:7" x14ac:dyDescent="0.25">
      <c r="B271" s="29">
        <f>IF(266&lt;='계산기'!$C$7,266,"")</f>
      </c>
      <c r="C271" s="30">
        <f>IF(B271="","",G270)</f>
      </c>
      <c r="D271" s="30">
        <f>IF(B271="","",C271*'계산기'!$C$12)</f>
      </c>
      <c r="E271" s="30">
        <f>IF(B271="","",IF(B271='계산기'!$C$7,C271,IF('계산기'!$C$8="원리금균등",IF('계산기'!$C$12=0,'계산기'!$C$5/'계산기'!$C$7,PMT('계산기'!$C$12,'계산기'!$C$7,-'계산기'!$C$5))-D271,IF('계산기'!$C$8="원금균등",'계산기'!$C$5/'계산기'!$C$7,0))))</f>
      </c>
      <c r="F271" s="30">
        <f>IF(B271="","",D271+E271)</f>
      </c>
      <c r="G271" s="30">
        <f>IF(B271="","",C271-E271)</f>
      </c>
    </row>
    <row r="272" spans="2:7" x14ac:dyDescent="0.25">
      <c r="B272" s="29">
        <f>IF(267&lt;='계산기'!$C$7,267,"")</f>
      </c>
      <c r="C272" s="30">
        <f>IF(B272="","",G271)</f>
      </c>
      <c r="D272" s="30">
        <f>IF(B272="","",C272*'계산기'!$C$12)</f>
      </c>
      <c r="E272" s="30">
        <f>IF(B272="","",IF(B272='계산기'!$C$7,C272,IF('계산기'!$C$8="원리금균등",IF('계산기'!$C$12=0,'계산기'!$C$5/'계산기'!$C$7,PMT('계산기'!$C$12,'계산기'!$C$7,-'계산기'!$C$5))-D272,IF('계산기'!$C$8="원금균등",'계산기'!$C$5/'계산기'!$C$7,0))))</f>
      </c>
      <c r="F272" s="30">
        <f>IF(B272="","",D272+E272)</f>
      </c>
      <c r="G272" s="30">
        <f>IF(B272="","",C272-E272)</f>
      </c>
    </row>
    <row r="273" spans="2:7" x14ac:dyDescent="0.25">
      <c r="B273" s="29">
        <f>IF(268&lt;='계산기'!$C$7,268,"")</f>
      </c>
      <c r="C273" s="30">
        <f>IF(B273="","",G272)</f>
      </c>
      <c r="D273" s="30">
        <f>IF(B273="","",C273*'계산기'!$C$12)</f>
      </c>
      <c r="E273" s="30">
        <f>IF(B273="","",IF(B273='계산기'!$C$7,C273,IF('계산기'!$C$8="원리금균등",IF('계산기'!$C$12=0,'계산기'!$C$5/'계산기'!$C$7,PMT('계산기'!$C$12,'계산기'!$C$7,-'계산기'!$C$5))-D273,IF('계산기'!$C$8="원금균등",'계산기'!$C$5/'계산기'!$C$7,0))))</f>
      </c>
      <c r="F273" s="30">
        <f>IF(B273="","",D273+E273)</f>
      </c>
      <c r="G273" s="30">
        <f>IF(B273="","",C273-E273)</f>
      </c>
    </row>
    <row r="274" spans="2:7" x14ac:dyDescent="0.25">
      <c r="B274" s="29">
        <f>IF(269&lt;='계산기'!$C$7,269,"")</f>
      </c>
      <c r="C274" s="30">
        <f>IF(B274="","",G273)</f>
      </c>
      <c r="D274" s="30">
        <f>IF(B274="","",C274*'계산기'!$C$12)</f>
      </c>
      <c r="E274" s="30">
        <f>IF(B274="","",IF(B274='계산기'!$C$7,C274,IF('계산기'!$C$8="원리금균등",IF('계산기'!$C$12=0,'계산기'!$C$5/'계산기'!$C$7,PMT('계산기'!$C$12,'계산기'!$C$7,-'계산기'!$C$5))-D274,IF('계산기'!$C$8="원금균등",'계산기'!$C$5/'계산기'!$C$7,0))))</f>
      </c>
      <c r="F274" s="30">
        <f>IF(B274="","",D274+E274)</f>
      </c>
      <c r="G274" s="30">
        <f>IF(B274="","",C274-E274)</f>
      </c>
    </row>
    <row r="275" spans="2:7" x14ac:dyDescent="0.25">
      <c r="B275" s="29">
        <f>IF(270&lt;='계산기'!$C$7,270,"")</f>
      </c>
      <c r="C275" s="30">
        <f>IF(B275="","",G274)</f>
      </c>
      <c r="D275" s="30">
        <f>IF(B275="","",C275*'계산기'!$C$12)</f>
      </c>
      <c r="E275" s="30">
        <f>IF(B275="","",IF(B275='계산기'!$C$7,C275,IF('계산기'!$C$8="원리금균등",IF('계산기'!$C$12=0,'계산기'!$C$5/'계산기'!$C$7,PMT('계산기'!$C$12,'계산기'!$C$7,-'계산기'!$C$5))-D275,IF('계산기'!$C$8="원금균등",'계산기'!$C$5/'계산기'!$C$7,0))))</f>
      </c>
      <c r="F275" s="30">
        <f>IF(B275="","",D275+E275)</f>
      </c>
      <c r="G275" s="30">
        <f>IF(B275="","",C275-E275)</f>
      </c>
    </row>
    <row r="276" spans="2:7" x14ac:dyDescent="0.25">
      <c r="B276" s="29">
        <f>IF(271&lt;='계산기'!$C$7,271,"")</f>
      </c>
      <c r="C276" s="30">
        <f>IF(B276="","",G275)</f>
      </c>
      <c r="D276" s="30">
        <f>IF(B276="","",C276*'계산기'!$C$12)</f>
      </c>
      <c r="E276" s="30">
        <f>IF(B276="","",IF(B276='계산기'!$C$7,C276,IF('계산기'!$C$8="원리금균등",IF('계산기'!$C$12=0,'계산기'!$C$5/'계산기'!$C$7,PMT('계산기'!$C$12,'계산기'!$C$7,-'계산기'!$C$5))-D276,IF('계산기'!$C$8="원금균등",'계산기'!$C$5/'계산기'!$C$7,0))))</f>
      </c>
      <c r="F276" s="30">
        <f>IF(B276="","",D276+E276)</f>
      </c>
      <c r="G276" s="30">
        <f>IF(B276="","",C276-E276)</f>
      </c>
    </row>
    <row r="277" spans="2:7" x14ac:dyDescent="0.25">
      <c r="B277" s="29">
        <f>IF(272&lt;='계산기'!$C$7,272,"")</f>
      </c>
      <c r="C277" s="30">
        <f>IF(B277="","",G276)</f>
      </c>
      <c r="D277" s="30">
        <f>IF(B277="","",C277*'계산기'!$C$12)</f>
      </c>
      <c r="E277" s="30">
        <f>IF(B277="","",IF(B277='계산기'!$C$7,C277,IF('계산기'!$C$8="원리금균등",IF('계산기'!$C$12=0,'계산기'!$C$5/'계산기'!$C$7,PMT('계산기'!$C$12,'계산기'!$C$7,-'계산기'!$C$5))-D277,IF('계산기'!$C$8="원금균등",'계산기'!$C$5/'계산기'!$C$7,0))))</f>
      </c>
      <c r="F277" s="30">
        <f>IF(B277="","",D277+E277)</f>
      </c>
      <c r="G277" s="30">
        <f>IF(B277="","",C277-E277)</f>
      </c>
    </row>
    <row r="278" spans="2:7" x14ac:dyDescent="0.25">
      <c r="B278" s="29">
        <f>IF(273&lt;='계산기'!$C$7,273,"")</f>
      </c>
      <c r="C278" s="30">
        <f>IF(B278="","",G277)</f>
      </c>
      <c r="D278" s="30">
        <f>IF(B278="","",C278*'계산기'!$C$12)</f>
      </c>
      <c r="E278" s="30">
        <f>IF(B278="","",IF(B278='계산기'!$C$7,C278,IF('계산기'!$C$8="원리금균등",IF('계산기'!$C$12=0,'계산기'!$C$5/'계산기'!$C$7,PMT('계산기'!$C$12,'계산기'!$C$7,-'계산기'!$C$5))-D278,IF('계산기'!$C$8="원금균등",'계산기'!$C$5/'계산기'!$C$7,0))))</f>
      </c>
      <c r="F278" s="30">
        <f>IF(B278="","",D278+E278)</f>
      </c>
      <c r="G278" s="30">
        <f>IF(B278="","",C278-E278)</f>
      </c>
    </row>
    <row r="279" spans="2:7" x14ac:dyDescent="0.25">
      <c r="B279" s="29">
        <f>IF(274&lt;='계산기'!$C$7,274,"")</f>
      </c>
      <c r="C279" s="30">
        <f>IF(B279="","",G278)</f>
      </c>
      <c r="D279" s="30">
        <f>IF(B279="","",C279*'계산기'!$C$12)</f>
      </c>
      <c r="E279" s="30">
        <f>IF(B279="","",IF(B279='계산기'!$C$7,C279,IF('계산기'!$C$8="원리금균등",IF('계산기'!$C$12=0,'계산기'!$C$5/'계산기'!$C$7,PMT('계산기'!$C$12,'계산기'!$C$7,-'계산기'!$C$5))-D279,IF('계산기'!$C$8="원금균등",'계산기'!$C$5/'계산기'!$C$7,0))))</f>
      </c>
      <c r="F279" s="30">
        <f>IF(B279="","",D279+E279)</f>
      </c>
      <c r="G279" s="30">
        <f>IF(B279="","",C279-E279)</f>
      </c>
    </row>
    <row r="280" spans="2:7" x14ac:dyDescent="0.25">
      <c r="B280" s="29">
        <f>IF(275&lt;='계산기'!$C$7,275,"")</f>
      </c>
      <c r="C280" s="30">
        <f>IF(B280="","",G279)</f>
      </c>
      <c r="D280" s="30">
        <f>IF(B280="","",C280*'계산기'!$C$12)</f>
      </c>
      <c r="E280" s="30">
        <f>IF(B280="","",IF(B280='계산기'!$C$7,C280,IF('계산기'!$C$8="원리금균등",IF('계산기'!$C$12=0,'계산기'!$C$5/'계산기'!$C$7,PMT('계산기'!$C$12,'계산기'!$C$7,-'계산기'!$C$5))-D280,IF('계산기'!$C$8="원금균등",'계산기'!$C$5/'계산기'!$C$7,0))))</f>
      </c>
      <c r="F280" s="30">
        <f>IF(B280="","",D280+E280)</f>
      </c>
      <c r="G280" s="30">
        <f>IF(B280="","",C280-E280)</f>
      </c>
    </row>
    <row r="281" spans="2:7" x14ac:dyDescent="0.25">
      <c r="B281" s="29">
        <f>IF(276&lt;='계산기'!$C$7,276,"")</f>
      </c>
      <c r="C281" s="30">
        <f>IF(B281="","",G280)</f>
      </c>
      <c r="D281" s="30">
        <f>IF(B281="","",C281*'계산기'!$C$12)</f>
      </c>
      <c r="E281" s="30">
        <f>IF(B281="","",IF(B281='계산기'!$C$7,C281,IF('계산기'!$C$8="원리금균등",IF('계산기'!$C$12=0,'계산기'!$C$5/'계산기'!$C$7,PMT('계산기'!$C$12,'계산기'!$C$7,-'계산기'!$C$5))-D281,IF('계산기'!$C$8="원금균등",'계산기'!$C$5/'계산기'!$C$7,0))))</f>
      </c>
      <c r="F281" s="30">
        <f>IF(B281="","",D281+E281)</f>
      </c>
      <c r="G281" s="30">
        <f>IF(B281="","",C281-E281)</f>
      </c>
    </row>
    <row r="282" spans="2:7" x14ac:dyDescent="0.25">
      <c r="B282" s="29">
        <f>IF(277&lt;='계산기'!$C$7,277,"")</f>
      </c>
      <c r="C282" s="30">
        <f>IF(B282="","",G281)</f>
      </c>
      <c r="D282" s="30">
        <f>IF(B282="","",C282*'계산기'!$C$12)</f>
      </c>
      <c r="E282" s="30">
        <f>IF(B282="","",IF(B282='계산기'!$C$7,C282,IF('계산기'!$C$8="원리금균등",IF('계산기'!$C$12=0,'계산기'!$C$5/'계산기'!$C$7,PMT('계산기'!$C$12,'계산기'!$C$7,-'계산기'!$C$5))-D282,IF('계산기'!$C$8="원금균등",'계산기'!$C$5/'계산기'!$C$7,0))))</f>
      </c>
      <c r="F282" s="30">
        <f>IF(B282="","",D282+E282)</f>
      </c>
      <c r="G282" s="30">
        <f>IF(B282="","",C282-E282)</f>
      </c>
    </row>
    <row r="283" spans="2:7" x14ac:dyDescent="0.25">
      <c r="B283" s="29">
        <f>IF(278&lt;='계산기'!$C$7,278,"")</f>
      </c>
      <c r="C283" s="30">
        <f>IF(B283="","",G282)</f>
      </c>
      <c r="D283" s="30">
        <f>IF(B283="","",C283*'계산기'!$C$12)</f>
      </c>
      <c r="E283" s="30">
        <f>IF(B283="","",IF(B283='계산기'!$C$7,C283,IF('계산기'!$C$8="원리금균등",IF('계산기'!$C$12=0,'계산기'!$C$5/'계산기'!$C$7,PMT('계산기'!$C$12,'계산기'!$C$7,-'계산기'!$C$5))-D283,IF('계산기'!$C$8="원금균등",'계산기'!$C$5/'계산기'!$C$7,0))))</f>
      </c>
      <c r="F283" s="30">
        <f>IF(B283="","",D283+E283)</f>
      </c>
      <c r="G283" s="30">
        <f>IF(B283="","",C283-E283)</f>
      </c>
    </row>
    <row r="284" spans="2:7" x14ac:dyDescent="0.25">
      <c r="B284" s="29">
        <f>IF(279&lt;='계산기'!$C$7,279,"")</f>
      </c>
      <c r="C284" s="30">
        <f>IF(B284="","",G283)</f>
      </c>
      <c r="D284" s="30">
        <f>IF(B284="","",C284*'계산기'!$C$12)</f>
      </c>
      <c r="E284" s="30">
        <f>IF(B284="","",IF(B284='계산기'!$C$7,C284,IF('계산기'!$C$8="원리금균등",IF('계산기'!$C$12=0,'계산기'!$C$5/'계산기'!$C$7,PMT('계산기'!$C$12,'계산기'!$C$7,-'계산기'!$C$5))-D284,IF('계산기'!$C$8="원금균등",'계산기'!$C$5/'계산기'!$C$7,0))))</f>
      </c>
      <c r="F284" s="30">
        <f>IF(B284="","",D284+E284)</f>
      </c>
      <c r="G284" s="30">
        <f>IF(B284="","",C284-E284)</f>
      </c>
    </row>
    <row r="285" spans="2:7" x14ac:dyDescent="0.25">
      <c r="B285" s="29">
        <f>IF(280&lt;='계산기'!$C$7,280,"")</f>
      </c>
      <c r="C285" s="30">
        <f>IF(B285="","",G284)</f>
      </c>
      <c r="D285" s="30">
        <f>IF(B285="","",C285*'계산기'!$C$12)</f>
      </c>
      <c r="E285" s="30">
        <f>IF(B285="","",IF(B285='계산기'!$C$7,C285,IF('계산기'!$C$8="원리금균등",IF('계산기'!$C$12=0,'계산기'!$C$5/'계산기'!$C$7,PMT('계산기'!$C$12,'계산기'!$C$7,-'계산기'!$C$5))-D285,IF('계산기'!$C$8="원금균등",'계산기'!$C$5/'계산기'!$C$7,0))))</f>
      </c>
      <c r="F285" s="30">
        <f>IF(B285="","",D285+E285)</f>
      </c>
      <c r="G285" s="30">
        <f>IF(B285="","",C285-E285)</f>
      </c>
    </row>
    <row r="286" spans="2:7" x14ac:dyDescent="0.25">
      <c r="B286" s="29">
        <f>IF(281&lt;='계산기'!$C$7,281,"")</f>
      </c>
      <c r="C286" s="30">
        <f>IF(B286="","",G285)</f>
      </c>
      <c r="D286" s="30">
        <f>IF(B286="","",C286*'계산기'!$C$12)</f>
      </c>
      <c r="E286" s="30">
        <f>IF(B286="","",IF(B286='계산기'!$C$7,C286,IF('계산기'!$C$8="원리금균등",IF('계산기'!$C$12=0,'계산기'!$C$5/'계산기'!$C$7,PMT('계산기'!$C$12,'계산기'!$C$7,-'계산기'!$C$5))-D286,IF('계산기'!$C$8="원금균등",'계산기'!$C$5/'계산기'!$C$7,0))))</f>
      </c>
      <c r="F286" s="30">
        <f>IF(B286="","",D286+E286)</f>
      </c>
      <c r="G286" s="30">
        <f>IF(B286="","",C286-E286)</f>
      </c>
    </row>
    <row r="287" spans="2:7" x14ac:dyDescent="0.25">
      <c r="B287" s="29">
        <f>IF(282&lt;='계산기'!$C$7,282,"")</f>
      </c>
      <c r="C287" s="30">
        <f>IF(B287="","",G286)</f>
      </c>
      <c r="D287" s="30">
        <f>IF(B287="","",C287*'계산기'!$C$12)</f>
      </c>
      <c r="E287" s="30">
        <f>IF(B287="","",IF(B287='계산기'!$C$7,C287,IF('계산기'!$C$8="원리금균등",IF('계산기'!$C$12=0,'계산기'!$C$5/'계산기'!$C$7,PMT('계산기'!$C$12,'계산기'!$C$7,-'계산기'!$C$5))-D287,IF('계산기'!$C$8="원금균등",'계산기'!$C$5/'계산기'!$C$7,0))))</f>
      </c>
      <c r="F287" s="30">
        <f>IF(B287="","",D287+E287)</f>
      </c>
      <c r="G287" s="30">
        <f>IF(B287="","",C287-E287)</f>
      </c>
    </row>
    <row r="288" spans="2:7" x14ac:dyDescent="0.25">
      <c r="B288" s="29">
        <f>IF(283&lt;='계산기'!$C$7,283,"")</f>
      </c>
      <c r="C288" s="30">
        <f>IF(B288="","",G287)</f>
      </c>
      <c r="D288" s="30">
        <f>IF(B288="","",C288*'계산기'!$C$12)</f>
      </c>
      <c r="E288" s="30">
        <f>IF(B288="","",IF(B288='계산기'!$C$7,C288,IF('계산기'!$C$8="원리금균등",IF('계산기'!$C$12=0,'계산기'!$C$5/'계산기'!$C$7,PMT('계산기'!$C$12,'계산기'!$C$7,-'계산기'!$C$5))-D288,IF('계산기'!$C$8="원금균등",'계산기'!$C$5/'계산기'!$C$7,0))))</f>
      </c>
      <c r="F288" s="30">
        <f>IF(B288="","",D288+E288)</f>
      </c>
      <c r="G288" s="30">
        <f>IF(B288="","",C288-E288)</f>
      </c>
    </row>
    <row r="289" spans="2:7" x14ac:dyDescent="0.25">
      <c r="B289" s="29">
        <f>IF(284&lt;='계산기'!$C$7,284,"")</f>
      </c>
      <c r="C289" s="30">
        <f>IF(B289="","",G288)</f>
      </c>
      <c r="D289" s="30">
        <f>IF(B289="","",C289*'계산기'!$C$12)</f>
      </c>
      <c r="E289" s="30">
        <f>IF(B289="","",IF(B289='계산기'!$C$7,C289,IF('계산기'!$C$8="원리금균등",IF('계산기'!$C$12=0,'계산기'!$C$5/'계산기'!$C$7,PMT('계산기'!$C$12,'계산기'!$C$7,-'계산기'!$C$5))-D289,IF('계산기'!$C$8="원금균등",'계산기'!$C$5/'계산기'!$C$7,0))))</f>
      </c>
      <c r="F289" s="30">
        <f>IF(B289="","",D289+E289)</f>
      </c>
      <c r="G289" s="30">
        <f>IF(B289="","",C289-E289)</f>
      </c>
    </row>
    <row r="290" spans="2:7" x14ac:dyDescent="0.25">
      <c r="B290" s="29">
        <f>IF(285&lt;='계산기'!$C$7,285,"")</f>
      </c>
      <c r="C290" s="30">
        <f>IF(B290="","",G289)</f>
      </c>
      <c r="D290" s="30">
        <f>IF(B290="","",C290*'계산기'!$C$12)</f>
      </c>
      <c r="E290" s="30">
        <f>IF(B290="","",IF(B290='계산기'!$C$7,C290,IF('계산기'!$C$8="원리금균등",IF('계산기'!$C$12=0,'계산기'!$C$5/'계산기'!$C$7,PMT('계산기'!$C$12,'계산기'!$C$7,-'계산기'!$C$5))-D290,IF('계산기'!$C$8="원금균등",'계산기'!$C$5/'계산기'!$C$7,0))))</f>
      </c>
      <c r="F290" s="30">
        <f>IF(B290="","",D290+E290)</f>
      </c>
      <c r="G290" s="30">
        <f>IF(B290="","",C290-E290)</f>
      </c>
    </row>
    <row r="291" spans="2:7" x14ac:dyDescent="0.25">
      <c r="B291" s="29">
        <f>IF(286&lt;='계산기'!$C$7,286,"")</f>
      </c>
      <c r="C291" s="30">
        <f>IF(B291="","",G290)</f>
      </c>
      <c r="D291" s="30">
        <f>IF(B291="","",C291*'계산기'!$C$12)</f>
      </c>
      <c r="E291" s="30">
        <f>IF(B291="","",IF(B291='계산기'!$C$7,C291,IF('계산기'!$C$8="원리금균등",IF('계산기'!$C$12=0,'계산기'!$C$5/'계산기'!$C$7,PMT('계산기'!$C$12,'계산기'!$C$7,-'계산기'!$C$5))-D291,IF('계산기'!$C$8="원금균등",'계산기'!$C$5/'계산기'!$C$7,0))))</f>
      </c>
      <c r="F291" s="30">
        <f>IF(B291="","",D291+E291)</f>
      </c>
      <c r="G291" s="30">
        <f>IF(B291="","",C291-E291)</f>
      </c>
    </row>
    <row r="292" spans="2:7" x14ac:dyDescent="0.25">
      <c r="B292" s="29">
        <f>IF(287&lt;='계산기'!$C$7,287,"")</f>
      </c>
      <c r="C292" s="30">
        <f>IF(B292="","",G291)</f>
      </c>
      <c r="D292" s="30">
        <f>IF(B292="","",C292*'계산기'!$C$12)</f>
      </c>
      <c r="E292" s="30">
        <f>IF(B292="","",IF(B292='계산기'!$C$7,C292,IF('계산기'!$C$8="원리금균등",IF('계산기'!$C$12=0,'계산기'!$C$5/'계산기'!$C$7,PMT('계산기'!$C$12,'계산기'!$C$7,-'계산기'!$C$5))-D292,IF('계산기'!$C$8="원금균등",'계산기'!$C$5/'계산기'!$C$7,0))))</f>
      </c>
      <c r="F292" s="30">
        <f>IF(B292="","",D292+E292)</f>
      </c>
      <c r="G292" s="30">
        <f>IF(B292="","",C292-E292)</f>
      </c>
    </row>
    <row r="293" spans="2:7" x14ac:dyDescent="0.25">
      <c r="B293" s="29">
        <f>IF(288&lt;='계산기'!$C$7,288,"")</f>
      </c>
      <c r="C293" s="30">
        <f>IF(B293="","",G292)</f>
      </c>
      <c r="D293" s="30">
        <f>IF(B293="","",C293*'계산기'!$C$12)</f>
      </c>
      <c r="E293" s="30">
        <f>IF(B293="","",IF(B293='계산기'!$C$7,C293,IF('계산기'!$C$8="원리금균등",IF('계산기'!$C$12=0,'계산기'!$C$5/'계산기'!$C$7,PMT('계산기'!$C$12,'계산기'!$C$7,-'계산기'!$C$5))-D293,IF('계산기'!$C$8="원금균등",'계산기'!$C$5/'계산기'!$C$7,0))))</f>
      </c>
      <c r="F293" s="30">
        <f>IF(B293="","",D293+E293)</f>
      </c>
      <c r="G293" s="30">
        <f>IF(B293="","",C293-E293)</f>
      </c>
    </row>
    <row r="294" spans="2:7" x14ac:dyDescent="0.25">
      <c r="B294" s="29">
        <f>IF(289&lt;='계산기'!$C$7,289,"")</f>
      </c>
      <c r="C294" s="30">
        <f>IF(B294="","",G293)</f>
      </c>
      <c r="D294" s="30">
        <f>IF(B294="","",C294*'계산기'!$C$12)</f>
      </c>
      <c r="E294" s="30">
        <f>IF(B294="","",IF(B294='계산기'!$C$7,C294,IF('계산기'!$C$8="원리금균등",IF('계산기'!$C$12=0,'계산기'!$C$5/'계산기'!$C$7,PMT('계산기'!$C$12,'계산기'!$C$7,-'계산기'!$C$5))-D294,IF('계산기'!$C$8="원금균등",'계산기'!$C$5/'계산기'!$C$7,0))))</f>
      </c>
      <c r="F294" s="30">
        <f>IF(B294="","",D294+E294)</f>
      </c>
      <c r="G294" s="30">
        <f>IF(B294="","",C294-E294)</f>
      </c>
    </row>
    <row r="295" spans="2:7" x14ac:dyDescent="0.25">
      <c r="B295" s="29">
        <f>IF(290&lt;='계산기'!$C$7,290,"")</f>
      </c>
      <c r="C295" s="30">
        <f>IF(B295="","",G294)</f>
      </c>
      <c r="D295" s="30">
        <f>IF(B295="","",C295*'계산기'!$C$12)</f>
      </c>
      <c r="E295" s="30">
        <f>IF(B295="","",IF(B295='계산기'!$C$7,C295,IF('계산기'!$C$8="원리금균등",IF('계산기'!$C$12=0,'계산기'!$C$5/'계산기'!$C$7,PMT('계산기'!$C$12,'계산기'!$C$7,-'계산기'!$C$5))-D295,IF('계산기'!$C$8="원금균등",'계산기'!$C$5/'계산기'!$C$7,0))))</f>
      </c>
      <c r="F295" s="30">
        <f>IF(B295="","",D295+E295)</f>
      </c>
      <c r="G295" s="30">
        <f>IF(B295="","",C295-E295)</f>
      </c>
    </row>
    <row r="296" spans="2:7" x14ac:dyDescent="0.25">
      <c r="B296" s="29">
        <f>IF(291&lt;='계산기'!$C$7,291,"")</f>
      </c>
      <c r="C296" s="30">
        <f>IF(B296="","",G295)</f>
      </c>
      <c r="D296" s="30">
        <f>IF(B296="","",C296*'계산기'!$C$12)</f>
      </c>
      <c r="E296" s="30">
        <f>IF(B296="","",IF(B296='계산기'!$C$7,C296,IF('계산기'!$C$8="원리금균등",IF('계산기'!$C$12=0,'계산기'!$C$5/'계산기'!$C$7,PMT('계산기'!$C$12,'계산기'!$C$7,-'계산기'!$C$5))-D296,IF('계산기'!$C$8="원금균등",'계산기'!$C$5/'계산기'!$C$7,0))))</f>
      </c>
      <c r="F296" s="30">
        <f>IF(B296="","",D296+E296)</f>
      </c>
      <c r="G296" s="30">
        <f>IF(B296="","",C296-E296)</f>
      </c>
    </row>
    <row r="297" spans="2:7" x14ac:dyDescent="0.25">
      <c r="B297" s="29">
        <f>IF(292&lt;='계산기'!$C$7,292,"")</f>
      </c>
      <c r="C297" s="30">
        <f>IF(B297="","",G296)</f>
      </c>
      <c r="D297" s="30">
        <f>IF(B297="","",C297*'계산기'!$C$12)</f>
      </c>
      <c r="E297" s="30">
        <f>IF(B297="","",IF(B297='계산기'!$C$7,C297,IF('계산기'!$C$8="원리금균등",IF('계산기'!$C$12=0,'계산기'!$C$5/'계산기'!$C$7,PMT('계산기'!$C$12,'계산기'!$C$7,-'계산기'!$C$5))-D297,IF('계산기'!$C$8="원금균등",'계산기'!$C$5/'계산기'!$C$7,0))))</f>
      </c>
      <c r="F297" s="30">
        <f>IF(B297="","",D297+E297)</f>
      </c>
      <c r="G297" s="30">
        <f>IF(B297="","",C297-E297)</f>
      </c>
    </row>
    <row r="298" spans="2:7" x14ac:dyDescent="0.25">
      <c r="B298" s="29">
        <f>IF(293&lt;='계산기'!$C$7,293,"")</f>
      </c>
      <c r="C298" s="30">
        <f>IF(B298="","",G297)</f>
      </c>
      <c r="D298" s="30">
        <f>IF(B298="","",C298*'계산기'!$C$12)</f>
      </c>
      <c r="E298" s="30">
        <f>IF(B298="","",IF(B298='계산기'!$C$7,C298,IF('계산기'!$C$8="원리금균등",IF('계산기'!$C$12=0,'계산기'!$C$5/'계산기'!$C$7,PMT('계산기'!$C$12,'계산기'!$C$7,-'계산기'!$C$5))-D298,IF('계산기'!$C$8="원금균등",'계산기'!$C$5/'계산기'!$C$7,0))))</f>
      </c>
      <c r="F298" s="30">
        <f>IF(B298="","",D298+E298)</f>
      </c>
      <c r="G298" s="30">
        <f>IF(B298="","",C298-E298)</f>
      </c>
    </row>
    <row r="299" spans="2:7" x14ac:dyDescent="0.25">
      <c r="B299" s="29">
        <f>IF(294&lt;='계산기'!$C$7,294,"")</f>
      </c>
      <c r="C299" s="30">
        <f>IF(B299="","",G298)</f>
      </c>
      <c r="D299" s="30">
        <f>IF(B299="","",C299*'계산기'!$C$12)</f>
      </c>
      <c r="E299" s="30">
        <f>IF(B299="","",IF(B299='계산기'!$C$7,C299,IF('계산기'!$C$8="원리금균등",IF('계산기'!$C$12=0,'계산기'!$C$5/'계산기'!$C$7,PMT('계산기'!$C$12,'계산기'!$C$7,-'계산기'!$C$5))-D299,IF('계산기'!$C$8="원금균등",'계산기'!$C$5/'계산기'!$C$7,0))))</f>
      </c>
      <c r="F299" s="30">
        <f>IF(B299="","",D299+E299)</f>
      </c>
      <c r="G299" s="30">
        <f>IF(B299="","",C299-E299)</f>
      </c>
    </row>
    <row r="300" spans="2:7" x14ac:dyDescent="0.25">
      <c r="B300" s="29">
        <f>IF(295&lt;='계산기'!$C$7,295,"")</f>
      </c>
      <c r="C300" s="30">
        <f>IF(B300="","",G299)</f>
      </c>
      <c r="D300" s="30">
        <f>IF(B300="","",C300*'계산기'!$C$12)</f>
      </c>
      <c r="E300" s="30">
        <f>IF(B300="","",IF(B300='계산기'!$C$7,C300,IF('계산기'!$C$8="원리금균등",IF('계산기'!$C$12=0,'계산기'!$C$5/'계산기'!$C$7,PMT('계산기'!$C$12,'계산기'!$C$7,-'계산기'!$C$5))-D300,IF('계산기'!$C$8="원금균등",'계산기'!$C$5/'계산기'!$C$7,0))))</f>
      </c>
      <c r="F300" s="30">
        <f>IF(B300="","",D300+E300)</f>
      </c>
      <c r="G300" s="30">
        <f>IF(B300="","",C300-E300)</f>
      </c>
    </row>
    <row r="301" spans="2:7" x14ac:dyDescent="0.25">
      <c r="B301" s="29">
        <f>IF(296&lt;='계산기'!$C$7,296,"")</f>
      </c>
      <c r="C301" s="30">
        <f>IF(B301="","",G300)</f>
      </c>
      <c r="D301" s="30">
        <f>IF(B301="","",C301*'계산기'!$C$12)</f>
      </c>
      <c r="E301" s="30">
        <f>IF(B301="","",IF(B301='계산기'!$C$7,C301,IF('계산기'!$C$8="원리금균등",IF('계산기'!$C$12=0,'계산기'!$C$5/'계산기'!$C$7,PMT('계산기'!$C$12,'계산기'!$C$7,-'계산기'!$C$5))-D301,IF('계산기'!$C$8="원금균등",'계산기'!$C$5/'계산기'!$C$7,0))))</f>
      </c>
      <c r="F301" s="30">
        <f>IF(B301="","",D301+E301)</f>
      </c>
      <c r="G301" s="30">
        <f>IF(B301="","",C301-E301)</f>
      </c>
    </row>
    <row r="302" spans="2:7" x14ac:dyDescent="0.25">
      <c r="B302" s="29">
        <f>IF(297&lt;='계산기'!$C$7,297,"")</f>
      </c>
      <c r="C302" s="30">
        <f>IF(B302="","",G301)</f>
      </c>
      <c r="D302" s="30">
        <f>IF(B302="","",C302*'계산기'!$C$12)</f>
      </c>
      <c r="E302" s="30">
        <f>IF(B302="","",IF(B302='계산기'!$C$7,C302,IF('계산기'!$C$8="원리금균등",IF('계산기'!$C$12=0,'계산기'!$C$5/'계산기'!$C$7,PMT('계산기'!$C$12,'계산기'!$C$7,-'계산기'!$C$5))-D302,IF('계산기'!$C$8="원금균등",'계산기'!$C$5/'계산기'!$C$7,0))))</f>
      </c>
      <c r="F302" s="30">
        <f>IF(B302="","",D302+E302)</f>
      </c>
      <c r="G302" s="30">
        <f>IF(B302="","",C302-E302)</f>
      </c>
    </row>
    <row r="303" spans="2:7" x14ac:dyDescent="0.25">
      <c r="B303" s="29">
        <f>IF(298&lt;='계산기'!$C$7,298,"")</f>
      </c>
      <c r="C303" s="30">
        <f>IF(B303="","",G302)</f>
      </c>
      <c r="D303" s="30">
        <f>IF(B303="","",C303*'계산기'!$C$12)</f>
      </c>
      <c r="E303" s="30">
        <f>IF(B303="","",IF(B303='계산기'!$C$7,C303,IF('계산기'!$C$8="원리금균등",IF('계산기'!$C$12=0,'계산기'!$C$5/'계산기'!$C$7,PMT('계산기'!$C$12,'계산기'!$C$7,-'계산기'!$C$5))-D303,IF('계산기'!$C$8="원금균등",'계산기'!$C$5/'계산기'!$C$7,0))))</f>
      </c>
      <c r="F303" s="30">
        <f>IF(B303="","",D303+E303)</f>
      </c>
      <c r="G303" s="30">
        <f>IF(B303="","",C303-E303)</f>
      </c>
    </row>
    <row r="304" spans="2:7" x14ac:dyDescent="0.25">
      <c r="B304" s="29">
        <f>IF(299&lt;='계산기'!$C$7,299,"")</f>
      </c>
      <c r="C304" s="30">
        <f>IF(B304="","",G303)</f>
      </c>
      <c r="D304" s="30">
        <f>IF(B304="","",C304*'계산기'!$C$12)</f>
      </c>
      <c r="E304" s="30">
        <f>IF(B304="","",IF(B304='계산기'!$C$7,C304,IF('계산기'!$C$8="원리금균등",IF('계산기'!$C$12=0,'계산기'!$C$5/'계산기'!$C$7,PMT('계산기'!$C$12,'계산기'!$C$7,-'계산기'!$C$5))-D304,IF('계산기'!$C$8="원금균등",'계산기'!$C$5/'계산기'!$C$7,0))))</f>
      </c>
      <c r="F304" s="30">
        <f>IF(B304="","",D304+E304)</f>
      </c>
      <c r="G304" s="30">
        <f>IF(B304="","",C304-E304)</f>
      </c>
    </row>
    <row r="305" spans="2:7" x14ac:dyDescent="0.25">
      <c r="B305" s="29">
        <f>IF(300&lt;='계산기'!$C$7,300,"")</f>
      </c>
      <c r="C305" s="30">
        <f>IF(B305="","",G304)</f>
      </c>
      <c r="D305" s="30">
        <f>IF(B305="","",C305*'계산기'!$C$12)</f>
      </c>
      <c r="E305" s="30">
        <f>IF(B305="","",IF(B305='계산기'!$C$7,C305,IF('계산기'!$C$8="원리금균등",IF('계산기'!$C$12=0,'계산기'!$C$5/'계산기'!$C$7,PMT('계산기'!$C$12,'계산기'!$C$7,-'계산기'!$C$5))-D305,IF('계산기'!$C$8="원금균등",'계산기'!$C$5/'계산기'!$C$7,0))))</f>
      </c>
      <c r="F305" s="30">
        <f>IF(B305="","",D305+E305)</f>
      </c>
      <c r="G305" s="30">
        <f>IF(B305="","",C305-E305)</f>
      </c>
    </row>
    <row r="306" spans="2:7" x14ac:dyDescent="0.25">
      <c r="B306" s="29">
        <f>IF(301&lt;='계산기'!$C$7,301,"")</f>
      </c>
      <c r="C306" s="30">
        <f>IF(B306="","",G305)</f>
      </c>
      <c r="D306" s="30">
        <f>IF(B306="","",C306*'계산기'!$C$12)</f>
      </c>
      <c r="E306" s="30">
        <f>IF(B306="","",IF(B306='계산기'!$C$7,C306,IF('계산기'!$C$8="원리금균등",IF('계산기'!$C$12=0,'계산기'!$C$5/'계산기'!$C$7,PMT('계산기'!$C$12,'계산기'!$C$7,-'계산기'!$C$5))-D306,IF('계산기'!$C$8="원금균등",'계산기'!$C$5/'계산기'!$C$7,0))))</f>
      </c>
      <c r="F306" s="30">
        <f>IF(B306="","",D306+E306)</f>
      </c>
      <c r="G306" s="30">
        <f>IF(B306="","",C306-E306)</f>
      </c>
    </row>
    <row r="307" spans="2:7" x14ac:dyDescent="0.25">
      <c r="B307" s="29">
        <f>IF(302&lt;='계산기'!$C$7,302,"")</f>
      </c>
      <c r="C307" s="30">
        <f>IF(B307="","",G306)</f>
      </c>
      <c r="D307" s="30">
        <f>IF(B307="","",C307*'계산기'!$C$12)</f>
      </c>
      <c r="E307" s="30">
        <f>IF(B307="","",IF(B307='계산기'!$C$7,C307,IF('계산기'!$C$8="원리금균등",IF('계산기'!$C$12=0,'계산기'!$C$5/'계산기'!$C$7,PMT('계산기'!$C$12,'계산기'!$C$7,-'계산기'!$C$5))-D307,IF('계산기'!$C$8="원금균등",'계산기'!$C$5/'계산기'!$C$7,0))))</f>
      </c>
      <c r="F307" s="30">
        <f>IF(B307="","",D307+E307)</f>
      </c>
      <c r="G307" s="30">
        <f>IF(B307="","",C307-E307)</f>
      </c>
    </row>
    <row r="308" spans="2:7" x14ac:dyDescent="0.25">
      <c r="B308" s="29">
        <f>IF(303&lt;='계산기'!$C$7,303,"")</f>
      </c>
      <c r="C308" s="30">
        <f>IF(B308="","",G307)</f>
      </c>
      <c r="D308" s="30">
        <f>IF(B308="","",C308*'계산기'!$C$12)</f>
      </c>
      <c r="E308" s="30">
        <f>IF(B308="","",IF(B308='계산기'!$C$7,C308,IF('계산기'!$C$8="원리금균등",IF('계산기'!$C$12=0,'계산기'!$C$5/'계산기'!$C$7,PMT('계산기'!$C$12,'계산기'!$C$7,-'계산기'!$C$5))-D308,IF('계산기'!$C$8="원금균등",'계산기'!$C$5/'계산기'!$C$7,0))))</f>
      </c>
      <c r="F308" s="30">
        <f>IF(B308="","",D308+E308)</f>
      </c>
      <c r="G308" s="30">
        <f>IF(B308="","",C308-E308)</f>
      </c>
    </row>
    <row r="309" spans="2:7" x14ac:dyDescent="0.25">
      <c r="B309" s="29">
        <f>IF(304&lt;='계산기'!$C$7,304,"")</f>
      </c>
      <c r="C309" s="30">
        <f>IF(B309="","",G308)</f>
      </c>
      <c r="D309" s="30">
        <f>IF(B309="","",C309*'계산기'!$C$12)</f>
      </c>
      <c r="E309" s="30">
        <f>IF(B309="","",IF(B309='계산기'!$C$7,C309,IF('계산기'!$C$8="원리금균등",IF('계산기'!$C$12=0,'계산기'!$C$5/'계산기'!$C$7,PMT('계산기'!$C$12,'계산기'!$C$7,-'계산기'!$C$5))-D309,IF('계산기'!$C$8="원금균등",'계산기'!$C$5/'계산기'!$C$7,0))))</f>
      </c>
      <c r="F309" s="30">
        <f>IF(B309="","",D309+E309)</f>
      </c>
      <c r="G309" s="30">
        <f>IF(B309="","",C309-E309)</f>
      </c>
    </row>
    <row r="310" spans="2:7" x14ac:dyDescent="0.25">
      <c r="B310" s="29">
        <f>IF(305&lt;='계산기'!$C$7,305,"")</f>
      </c>
      <c r="C310" s="30">
        <f>IF(B310="","",G309)</f>
      </c>
      <c r="D310" s="30">
        <f>IF(B310="","",C310*'계산기'!$C$12)</f>
      </c>
      <c r="E310" s="30">
        <f>IF(B310="","",IF(B310='계산기'!$C$7,C310,IF('계산기'!$C$8="원리금균등",IF('계산기'!$C$12=0,'계산기'!$C$5/'계산기'!$C$7,PMT('계산기'!$C$12,'계산기'!$C$7,-'계산기'!$C$5))-D310,IF('계산기'!$C$8="원금균등",'계산기'!$C$5/'계산기'!$C$7,0))))</f>
      </c>
      <c r="F310" s="30">
        <f>IF(B310="","",D310+E310)</f>
      </c>
      <c r="G310" s="30">
        <f>IF(B310="","",C310-E310)</f>
      </c>
    </row>
    <row r="311" spans="2:7" x14ac:dyDescent="0.25">
      <c r="B311" s="29">
        <f>IF(306&lt;='계산기'!$C$7,306,"")</f>
      </c>
      <c r="C311" s="30">
        <f>IF(B311="","",G310)</f>
      </c>
      <c r="D311" s="30">
        <f>IF(B311="","",C311*'계산기'!$C$12)</f>
      </c>
      <c r="E311" s="30">
        <f>IF(B311="","",IF(B311='계산기'!$C$7,C311,IF('계산기'!$C$8="원리금균등",IF('계산기'!$C$12=0,'계산기'!$C$5/'계산기'!$C$7,PMT('계산기'!$C$12,'계산기'!$C$7,-'계산기'!$C$5))-D311,IF('계산기'!$C$8="원금균등",'계산기'!$C$5/'계산기'!$C$7,0))))</f>
      </c>
      <c r="F311" s="30">
        <f>IF(B311="","",D311+E311)</f>
      </c>
      <c r="G311" s="30">
        <f>IF(B311="","",C311-E311)</f>
      </c>
    </row>
    <row r="312" spans="2:7" x14ac:dyDescent="0.25">
      <c r="B312" s="29">
        <f>IF(307&lt;='계산기'!$C$7,307,"")</f>
      </c>
      <c r="C312" s="30">
        <f>IF(B312="","",G311)</f>
      </c>
      <c r="D312" s="30">
        <f>IF(B312="","",C312*'계산기'!$C$12)</f>
      </c>
      <c r="E312" s="30">
        <f>IF(B312="","",IF(B312='계산기'!$C$7,C312,IF('계산기'!$C$8="원리금균등",IF('계산기'!$C$12=0,'계산기'!$C$5/'계산기'!$C$7,PMT('계산기'!$C$12,'계산기'!$C$7,-'계산기'!$C$5))-D312,IF('계산기'!$C$8="원금균등",'계산기'!$C$5/'계산기'!$C$7,0))))</f>
      </c>
      <c r="F312" s="30">
        <f>IF(B312="","",D312+E312)</f>
      </c>
      <c r="G312" s="30">
        <f>IF(B312="","",C312-E312)</f>
      </c>
    </row>
    <row r="313" spans="2:7" x14ac:dyDescent="0.25">
      <c r="B313" s="29">
        <f>IF(308&lt;='계산기'!$C$7,308,"")</f>
      </c>
      <c r="C313" s="30">
        <f>IF(B313="","",G312)</f>
      </c>
      <c r="D313" s="30">
        <f>IF(B313="","",C313*'계산기'!$C$12)</f>
      </c>
      <c r="E313" s="30">
        <f>IF(B313="","",IF(B313='계산기'!$C$7,C313,IF('계산기'!$C$8="원리금균등",IF('계산기'!$C$12=0,'계산기'!$C$5/'계산기'!$C$7,PMT('계산기'!$C$12,'계산기'!$C$7,-'계산기'!$C$5))-D313,IF('계산기'!$C$8="원금균등",'계산기'!$C$5/'계산기'!$C$7,0))))</f>
      </c>
      <c r="F313" s="30">
        <f>IF(B313="","",D313+E313)</f>
      </c>
      <c r="G313" s="30">
        <f>IF(B313="","",C313-E313)</f>
      </c>
    </row>
    <row r="314" spans="2:7" x14ac:dyDescent="0.25">
      <c r="B314" s="29">
        <f>IF(309&lt;='계산기'!$C$7,309,"")</f>
      </c>
      <c r="C314" s="30">
        <f>IF(B314="","",G313)</f>
      </c>
      <c r="D314" s="30">
        <f>IF(B314="","",C314*'계산기'!$C$12)</f>
      </c>
      <c r="E314" s="30">
        <f>IF(B314="","",IF(B314='계산기'!$C$7,C314,IF('계산기'!$C$8="원리금균등",IF('계산기'!$C$12=0,'계산기'!$C$5/'계산기'!$C$7,PMT('계산기'!$C$12,'계산기'!$C$7,-'계산기'!$C$5))-D314,IF('계산기'!$C$8="원금균등",'계산기'!$C$5/'계산기'!$C$7,0))))</f>
      </c>
      <c r="F314" s="30">
        <f>IF(B314="","",D314+E314)</f>
      </c>
      <c r="G314" s="30">
        <f>IF(B314="","",C314-E314)</f>
      </c>
    </row>
    <row r="315" spans="2:7" x14ac:dyDescent="0.25">
      <c r="B315" s="29">
        <f>IF(310&lt;='계산기'!$C$7,310,"")</f>
      </c>
      <c r="C315" s="30">
        <f>IF(B315="","",G314)</f>
      </c>
      <c r="D315" s="30">
        <f>IF(B315="","",C315*'계산기'!$C$12)</f>
      </c>
      <c r="E315" s="30">
        <f>IF(B315="","",IF(B315='계산기'!$C$7,C315,IF('계산기'!$C$8="원리금균등",IF('계산기'!$C$12=0,'계산기'!$C$5/'계산기'!$C$7,PMT('계산기'!$C$12,'계산기'!$C$7,-'계산기'!$C$5))-D315,IF('계산기'!$C$8="원금균등",'계산기'!$C$5/'계산기'!$C$7,0))))</f>
      </c>
      <c r="F315" s="30">
        <f>IF(B315="","",D315+E315)</f>
      </c>
      <c r="G315" s="30">
        <f>IF(B315="","",C315-E315)</f>
      </c>
    </row>
    <row r="316" spans="2:7" x14ac:dyDescent="0.25">
      <c r="B316" s="29">
        <f>IF(311&lt;='계산기'!$C$7,311,"")</f>
      </c>
      <c r="C316" s="30">
        <f>IF(B316="","",G315)</f>
      </c>
      <c r="D316" s="30">
        <f>IF(B316="","",C316*'계산기'!$C$12)</f>
      </c>
      <c r="E316" s="30">
        <f>IF(B316="","",IF(B316='계산기'!$C$7,C316,IF('계산기'!$C$8="원리금균등",IF('계산기'!$C$12=0,'계산기'!$C$5/'계산기'!$C$7,PMT('계산기'!$C$12,'계산기'!$C$7,-'계산기'!$C$5))-D316,IF('계산기'!$C$8="원금균등",'계산기'!$C$5/'계산기'!$C$7,0))))</f>
      </c>
      <c r="F316" s="30">
        <f>IF(B316="","",D316+E316)</f>
      </c>
      <c r="G316" s="30">
        <f>IF(B316="","",C316-E316)</f>
      </c>
    </row>
    <row r="317" spans="2:7" x14ac:dyDescent="0.25">
      <c r="B317" s="29">
        <f>IF(312&lt;='계산기'!$C$7,312,"")</f>
      </c>
      <c r="C317" s="30">
        <f>IF(B317="","",G316)</f>
      </c>
      <c r="D317" s="30">
        <f>IF(B317="","",C317*'계산기'!$C$12)</f>
      </c>
      <c r="E317" s="30">
        <f>IF(B317="","",IF(B317='계산기'!$C$7,C317,IF('계산기'!$C$8="원리금균등",IF('계산기'!$C$12=0,'계산기'!$C$5/'계산기'!$C$7,PMT('계산기'!$C$12,'계산기'!$C$7,-'계산기'!$C$5))-D317,IF('계산기'!$C$8="원금균등",'계산기'!$C$5/'계산기'!$C$7,0))))</f>
      </c>
      <c r="F317" s="30">
        <f>IF(B317="","",D317+E317)</f>
      </c>
      <c r="G317" s="30">
        <f>IF(B317="","",C317-E317)</f>
      </c>
    </row>
    <row r="318" spans="2:7" x14ac:dyDescent="0.25">
      <c r="B318" s="29">
        <f>IF(313&lt;='계산기'!$C$7,313,"")</f>
      </c>
      <c r="C318" s="30">
        <f>IF(B318="","",G317)</f>
      </c>
      <c r="D318" s="30">
        <f>IF(B318="","",C318*'계산기'!$C$12)</f>
      </c>
      <c r="E318" s="30">
        <f>IF(B318="","",IF(B318='계산기'!$C$7,C318,IF('계산기'!$C$8="원리금균등",IF('계산기'!$C$12=0,'계산기'!$C$5/'계산기'!$C$7,PMT('계산기'!$C$12,'계산기'!$C$7,-'계산기'!$C$5))-D318,IF('계산기'!$C$8="원금균등",'계산기'!$C$5/'계산기'!$C$7,0))))</f>
      </c>
      <c r="F318" s="30">
        <f>IF(B318="","",D318+E318)</f>
      </c>
      <c r="G318" s="30">
        <f>IF(B318="","",C318-E318)</f>
      </c>
    </row>
    <row r="319" spans="2:7" x14ac:dyDescent="0.25">
      <c r="B319" s="29">
        <f>IF(314&lt;='계산기'!$C$7,314,"")</f>
      </c>
      <c r="C319" s="30">
        <f>IF(B319="","",G318)</f>
      </c>
      <c r="D319" s="30">
        <f>IF(B319="","",C319*'계산기'!$C$12)</f>
      </c>
      <c r="E319" s="30">
        <f>IF(B319="","",IF(B319='계산기'!$C$7,C319,IF('계산기'!$C$8="원리금균등",IF('계산기'!$C$12=0,'계산기'!$C$5/'계산기'!$C$7,PMT('계산기'!$C$12,'계산기'!$C$7,-'계산기'!$C$5))-D319,IF('계산기'!$C$8="원금균등",'계산기'!$C$5/'계산기'!$C$7,0))))</f>
      </c>
      <c r="F319" s="30">
        <f>IF(B319="","",D319+E319)</f>
      </c>
      <c r="G319" s="30">
        <f>IF(B319="","",C319-E319)</f>
      </c>
    </row>
    <row r="320" spans="2:7" x14ac:dyDescent="0.25">
      <c r="B320" s="29">
        <f>IF(315&lt;='계산기'!$C$7,315,"")</f>
      </c>
      <c r="C320" s="30">
        <f>IF(B320="","",G319)</f>
      </c>
      <c r="D320" s="30">
        <f>IF(B320="","",C320*'계산기'!$C$12)</f>
      </c>
      <c r="E320" s="30">
        <f>IF(B320="","",IF(B320='계산기'!$C$7,C320,IF('계산기'!$C$8="원리금균등",IF('계산기'!$C$12=0,'계산기'!$C$5/'계산기'!$C$7,PMT('계산기'!$C$12,'계산기'!$C$7,-'계산기'!$C$5))-D320,IF('계산기'!$C$8="원금균등",'계산기'!$C$5/'계산기'!$C$7,0))))</f>
      </c>
      <c r="F320" s="30">
        <f>IF(B320="","",D320+E320)</f>
      </c>
      <c r="G320" s="30">
        <f>IF(B320="","",C320-E320)</f>
      </c>
    </row>
    <row r="321" spans="2:7" x14ac:dyDescent="0.25">
      <c r="B321" s="29">
        <f>IF(316&lt;='계산기'!$C$7,316,"")</f>
      </c>
      <c r="C321" s="30">
        <f>IF(B321="","",G320)</f>
      </c>
      <c r="D321" s="30">
        <f>IF(B321="","",C321*'계산기'!$C$12)</f>
      </c>
      <c r="E321" s="30">
        <f>IF(B321="","",IF(B321='계산기'!$C$7,C321,IF('계산기'!$C$8="원리금균등",IF('계산기'!$C$12=0,'계산기'!$C$5/'계산기'!$C$7,PMT('계산기'!$C$12,'계산기'!$C$7,-'계산기'!$C$5))-D321,IF('계산기'!$C$8="원금균등",'계산기'!$C$5/'계산기'!$C$7,0))))</f>
      </c>
      <c r="F321" s="30">
        <f>IF(B321="","",D321+E321)</f>
      </c>
      <c r="G321" s="30">
        <f>IF(B321="","",C321-E321)</f>
      </c>
    </row>
    <row r="322" spans="2:7" x14ac:dyDescent="0.25">
      <c r="B322" s="29">
        <f>IF(317&lt;='계산기'!$C$7,317,"")</f>
      </c>
      <c r="C322" s="30">
        <f>IF(B322="","",G321)</f>
      </c>
      <c r="D322" s="30">
        <f>IF(B322="","",C322*'계산기'!$C$12)</f>
      </c>
      <c r="E322" s="30">
        <f>IF(B322="","",IF(B322='계산기'!$C$7,C322,IF('계산기'!$C$8="원리금균등",IF('계산기'!$C$12=0,'계산기'!$C$5/'계산기'!$C$7,PMT('계산기'!$C$12,'계산기'!$C$7,-'계산기'!$C$5))-D322,IF('계산기'!$C$8="원금균등",'계산기'!$C$5/'계산기'!$C$7,0))))</f>
      </c>
      <c r="F322" s="30">
        <f>IF(B322="","",D322+E322)</f>
      </c>
      <c r="G322" s="30">
        <f>IF(B322="","",C322-E322)</f>
      </c>
    </row>
    <row r="323" spans="2:7" x14ac:dyDescent="0.25">
      <c r="B323" s="29">
        <f>IF(318&lt;='계산기'!$C$7,318,"")</f>
      </c>
      <c r="C323" s="30">
        <f>IF(B323="","",G322)</f>
      </c>
      <c r="D323" s="30">
        <f>IF(B323="","",C323*'계산기'!$C$12)</f>
      </c>
      <c r="E323" s="30">
        <f>IF(B323="","",IF(B323='계산기'!$C$7,C323,IF('계산기'!$C$8="원리금균등",IF('계산기'!$C$12=0,'계산기'!$C$5/'계산기'!$C$7,PMT('계산기'!$C$12,'계산기'!$C$7,-'계산기'!$C$5))-D323,IF('계산기'!$C$8="원금균등",'계산기'!$C$5/'계산기'!$C$7,0))))</f>
      </c>
      <c r="F323" s="30">
        <f>IF(B323="","",D323+E323)</f>
      </c>
      <c r="G323" s="30">
        <f>IF(B323="","",C323-E323)</f>
      </c>
    </row>
    <row r="324" spans="2:7" x14ac:dyDescent="0.25">
      <c r="B324" s="29">
        <f>IF(319&lt;='계산기'!$C$7,319,"")</f>
      </c>
      <c r="C324" s="30">
        <f>IF(B324="","",G323)</f>
      </c>
      <c r="D324" s="30">
        <f>IF(B324="","",C324*'계산기'!$C$12)</f>
      </c>
      <c r="E324" s="30">
        <f>IF(B324="","",IF(B324='계산기'!$C$7,C324,IF('계산기'!$C$8="원리금균등",IF('계산기'!$C$12=0,'계산기'!$C$5/'계산기'!$C$7,PMT('계산기'!$C$12,'계산기'!$C$7,-'계산기'!$C$5))-D324,IF('계산기'!$C$8="원금균등",'계산기'!$C$5/'계산기'!$C$7,0))))</f>
      </c>
      <c r="F324" s="30">
        <f>IF(B324="","",D324+E324)</f>
      </c>
      <c r="G324" s="30">
        <f>IF(B324="","",C324-E324)</f>
      </c>
    </row>
    <row r="325" spans="2:7" x14ac:dyDescent="0.25">
      <c r="B325" s="29">
        <f>IF(320&lt;='계산기'!$C$7,320,"")</f>
      </c>
      <c r="C325" s="30">
        <f>IF(B325="","",G324)</f>
      </c>
      <c r="D325" s="30">
        <f>IF(B325="","",C325*'계산기'!$C$12)</f>
      </c>
      <c r="E325" s="30">
        <f>IF(B325="","",IF(B325='계산기'!$C$7,C325,IF('계산기'!$C$8="원리금균등",IF('계산기'!$C$12=0,'계산기'!$C$5/'계산기'!$C$7,PMT('계산기'!$C$12,'계산기'!$C$7,-'계산기'!$C$5))-D325,IF('계산기'!$C$8="원금균등",'계산기'!$C$5/'계산기'!$C$7,0))))</f>
      </c>
      <c r="F325" s="30">
        <f>IF(B325="","",D325+E325)</f>
      </c>
      <c r="G325" s="30">
        <f>IF(B325="","",C325-E325)</f>
      </c>
    </row>
    <row r="326" spans="2:7" x14ac:dyDescent="0.25">
      <c r="B326" s="29">
        <f>IF(321&lt;='계산기'!$C$7,321,"")</f>
      </c>
      <c r="C326" s="30">
        <f>IF(B326="","",G325)</f>
      </c>
      <c r="D326" s="30">
        <f>IF(B326="","",C326*'계산기'!$C$12)</f>
      </c>
      <c r="E326" s="30">
        <f>IF(B326="","",IF(B326='계산기'!$C$7,C326,IF('계산기'!$C$8="원리금균등",IF('계산기'!$C$12=0,'계산기'!$C$5/'계산기'!$C$7,PMT('계산기'!$C$12,'계산기'!$C$7,-'계산기'!$C$5))-D326,IF('계산기'!$C$8="원금균등",'계산기'!$C$5/'계산기'!$C$7,0))))</f>
      </c>
      <c r="F326" s="30">
        <f>IF(B326="","",D326+E326)</f>
      </c>
      <c r="G326" s="30">
        <f>IF(B326="","",C326-E326)</f>
      </c>
    </row>
    <row r="327" spans="2:7" x14ac:dyDescent="0.25">
      <c r="B327" s="29">
        <f>IF(322&lt;='계산기'!$C$7,322,"")</f>
      </c>
      <c r="C327" s="30">
        <f>IF(B327="","",G326)</f>
      </c>
      <c r="D327" s="30">
        <f>IF(B327="","",C327*'계산기'!$C$12)</f>
      </c>
      <c r="E327" s="30">
        <f>IF(B327="","",IF(B327='계산기'!$C$7,C327,IF('계산기'!$C$8="원리금균등",IF('계산기'!$C$12=0,'계산기'!$C$5/'계산기'!$C$7,PMT('계산기'!$C$12,'계산기'!$C$7,-'계산기'!$C$5))-D327,IF('계산기'!$C$8="원금균등",'계산기'!$C$5/'계산기'!$C$7,0))))</f>
      </c>
      <c r="F327" s="30">
        <f>IF(B327="","",D327+E327)</f>
      </c>
      <c r="G327" s="30">
        <f>IF(B327="","",C327-E327)</f>
      </c>
    </row>
    <row r="328" spans="2:7" x14ac:dyDescent="0.25">
      <c r="B328" s="29">
        <f>IF(323&lt;='계산기'!$C$7,323,"")</f>
      </c>
      <c r="C328" s="30">
        <f>IF(B328="","",G327)</f>
      </c>
      <c r="D328" s="30">
        <f>IF(B328="","",C328*'계산기'!$C$12)</f>
      </c>
      <c r="E328" s="30">
        <f>IF(B328="","",IF(B328='계산기'!$C$7,C328,IF('계산기'!$C$8="원리금균등",IF('계산기'!$C$12=0,'계산기'!$C$5/'계산기'!$C$7,PMT('계산기'!$C$12,'계산기'!$C$7,-'계산기'!$C$5))-D328,IF('계산기'!$C$8="원금균등",'계산기'!$C$5/'계산기'!$C$7,0))))</f>
      </c>
      <c r="F328" s="30">
        <f>IF(B328="","",D328+E328)</f>
      </c>
      <c r="G328" s="30">
        <f>IF(B328="","",C328-E328)</f>
      </c>
    </row>
    <row r="329" spans="2:7" x14ac:dyDescent="0.25">
      <c r="B329" s="29">
        <f>IF(324&lt;='계산기'!$C$7,324,"")</f>
      </c>
      <c r="C329" s="30">
        <f>IF(B329="","",G328)</f>
      </c>
      <c r="D329" s="30">
        <f>IF(B329="","",C329*'계산기'!$C$12)</f>
      </c>
      <c r="E329" s="30">
        <f>IF(B329="","",IF(B329='계산기'!$C$7,C329,IF('계산기'!$C$8="원리금균등",IF('계산기'!$C$12=0,'계산기'!$C$5/'계산기'!$C$7,PMT('계산기'!$C$12,'계산기'!$C$7,-'계산기'!$C$5))-D329,IF('계산기'!$C$8="원금균등",'계산기'!$C$5/'계산기'!$C$7,0))))</f>
      </c>
      <c r="F329" s="30">
        <f>IF(B329="","",D329+E329)</f>
      </c>
      <c r="G329" s="30">
        <f>IF(B329="","",C329-E329)</f>
      </c>
    </row>
    <row r="330" spans="2:7" x14ac:dyDescent="0.25">
      <c r="B330" s="29">
        <f>IF(325&lt;='계산기'!$C$7,325,"")</f>
      </c>
      <c r="C330" s="30">
        <f>IF(B330="","",G329)</f>
      </c>
      <c r="D330" s="30">
        <f>IF(B330="","",C330*'계산기'!$C$12)</f>
      </c>
      <c r="E330" s="30">
        <f>IF(B330="","",IF(B330='계산기'!$C$7,C330,IF('계산기'!$C$8="원리금균등",IF('계산기'!$C$12=0,'계산기'!$C$5/'계산기'!$C$7,PMT('계산기'!$C$12,'계산기'!$C$7,-'계산기'!$C$5))-D330,IF('계산기'!$C$8="원금균등",'계산기'!$C$5/'계산기'!$C$7,0))))</f>
      </c>
      <c r="F330" s="30">
        <f>IF(B330="","",D330+E330)</f>
      </c>
      <c r="G330" s="30">
        <f>IF(B330="","",C330-E330)</f>
      </c>
    </row>
    <row r="331" spans="2:7" x14ac:dyDescent="0.25">
      <c r="B331" s="29">
        <f>IF(326&lt;='계산기'!$C$7,326,"")</f>
      </c>
      <c r="C331" s="30">
        <f>IF(B331="","",G330)</f>
      </c>
      <c r="D331" s="30">
        <f>IF(B331="","",C331*'계산기'!$C$12)</f>
      </c>
      <c r="E331" s="30">
        <f>IF(B331="","",IF(B331='계산기'!$C$7,C331,IF('계산기'!$C$8="원리금균등",IF('계산기'!$C$12=0,'계산기'!$C$5/'계산기'!$C$7,PMT('계산기'!$C$12,'계산기'!$C$7,-'계산기'!$C$5))-D331,IF('계산기'!$C$8="원금균등",'계산기'!$C$5/'계산기'!$C$7,0))))</f>
      </c>
      <c r="F331" s="30">
        <f>IF(B331="","",D331+E331)</f>
      </c>
      <c r="G331" s="30">
        <f>IF(B331="","",C331-E331)</f>
      </c>
    </row>
    <row r="332" spans="2:7" x14ac:dyDescent="0.25">
      <c r="B332" s="29">
        <f>IF(327&lt;='계산기'!$C$7,327,"")</f>
      </c>
      <c r="C332" s="30">
        <f>IF(B332="","",G331)</f>
      </c>
      <c r="D332" s="30">
        <f>IF(B332="","",C332*'계산기'!$C$12)</f>
      </c>
      <c r="E332" s="30">
        <f>IF(B332="","",IF(B332='계산기'!$C$7,C332,IF('계산기'!$C$8="원리금균등",IF('계산기'!$C$12=0,'계산기'!$C$5/'계산기'!$C$7,PMT('계산기'!$C$12,'계산기'!$C$7,-'계산기'!$C$5))-D332,IF('계산기'!$C$8="원금균등",'계산기'!$C$5/'계산기'!$C$7,0))))</f>
      </c>
      <c r="F332" s="30">
        <f>IF(B332="","",D332+E332)</f>
      </c>
      <c r="G332" s="30">
        <f>IF(B332="","",C332-E332)</f>
      </c>
    </row>
    <row r="333" spans="2:7" x14ac:dyDescent="0.25">
      <c r="B333" s="29">
        <f>IF(328&lt;='계산기'!$C$7,328,"")</f>
      </c>
      <c r="C333" s="30">
        <f>IF(B333="","",G332)</f>
      </c>
      <c r="D333" s="30">
        <f>IF(B333="","",C333*'계산기'!$C$12)</f>
      </c>
      <c r="E333" s="30">
        <f>IF(B333="","",IF(B333='계산기'!$C$7,C333,IF('계산기'!$C$8="원리금균등",IF('계산기'!$C$12=0,'계산기'!$C$5/'계산기'!$C$7,PMT('계산기'!$C$12,'계산기'!$C$7,-'계산기'!$C$5))-D333,IF('계산기'!$C$8="원금균등",'계산기'!$C$5/'계산기'!$C$7,0))))</f>
      </c>
      <c r="F333" s="30">
        <f>IF(B333="","",D333+E333)</f>
      </c>
      <c r="G333" s="30">
        <f>IF(B333="","",C333-E333)</f>
      </c>
    </row>
    <row r="334" spans="2:7" x14ac:dyDescent="0.25">
      <c r="B334" s="29">
        <f>IF(329&lt;='계산기'!$C$7,329,"")</f>
      </c>
      <c r="C334" s="30">
        <f>IF(B334="","",G333)</f>
      </c>
      <c r="D334" s="30">
        <f>IF(B334="","",C334*'계산기'!$C$12)</f>
      </c>
      <c r="E334" s="30">
        <f>IF(B334="","",IF(B334='계산기'!$C$7,C334,IF('계산기'!$C$8="원리금균등",IF('계산기'!$C$12=0,'계산기'!$C$5/'계산기'!$C$7,PMT('계산기'!$C$12,'계산기'!$C$7,-'계산기'!$C$5))-D334,IF('계산기'!$C$8="원금균등",'계산기'!$C$5/'계산기'!$C$7,0))))</f>
      </c>
      <c r="F334" s="30">
        <f>IF(B334="","",D334+E334)</f>
      </c>
      <c r="G334" s="30">
        <f>IF(B334="","",C334-E334)</f>
      </c>
    </row>
    <row r="335" spans="2:7" x14ac:dyDescent="0.25">
      <c r="B335" s="29">
        <f>IF(330&lt;='계산기'!$C$7,330,"")</f>
      </c>
      <c r="C335" s="30">
        <f>IF(B335="","",G334)</f>
      </c>
      <c r="D335" s="30">
        <f>IF(B335="","",C335*'계산기'!$C$12)</f>
      </c>
      <c r="E335" s="30">
        <f>IF(B335="","",IF(B335='계산기'!$C$7,C335,IF('계산기'!$C$8="원리금균등",IF('계산기'!$C$12=0,'계산기'!$C$5/'계산기'!$C$7,PMT('계산기'!$C$12,'계산기'!$C$7,-'계산기'!$C$5))-D335,IF('계산기'!$C$8="원금균등",'계산기'!$C$5/'계산기'!$C$7,0))))</f>
      </c>
      <c r="F335" s="30">
        <f>IF(B335="","",D335+E335)</f>
      </c>
      <c r="G335" s="30">
        <f>IF(B335="","",C335-E335)</f>
      </c>
    </row>
    <row r="336" spans="2:7" x14ac:dyDescent="0.25">
      <c r="B336" s="29">
        <f>IF(331&lt;='계산기'!$C$7,331,"")</f>
      </c>
      <c r="C336" s="30">
        <f>IF(B336="","",G335)</f>
      </c>
      <c r="D336" s="30">
        <f>IF(B336="","",C336*'계산기'!$C$12)</f>
      </c>
      <c r="E336" s="30">
        <f>IF(B336="","",IF(B336='계산기'!$C$7,C336,IF('계산기'!$C$8="원리금균등",IF('계산기'!$C$12=0,'계산기'!$C$5/'계산기'!$C$7,PMT('계산기'!$C$12,'계산기'!$C$7,-'계산기'!$C$5))-D336,IF('계산기'!$C$8="원금균등",'계산기'!$C$5/'계산기'!$C$7,0))))</f>
      </c>
      <c r="F336" s="30">
        <f>IF(B336="","",D336+E336)</f>
      </c>
      <c r="G336" s="30">
        <f>IF(B336="","",C336-E336)</f>
      </c>
    </row>
    <row r="337" spans="2:7" x14ac:dyDescent="0.25">
      <c r="B337" s="29">
        <f>IF(332&lt;='계산기'!$C$7,332,"")</f>
      </c>
      <c r="C337" s="30">
        <f>IF(B337="","",G336)</f>
      </c>
      <c r="D337" s="30">
        <f>IF(B337="","",C337*'계산기'!$C$12)</f>
      </c>
      <c r="E337" s="30">
        <f>IF(B337="","",IF(B337='계산기'!$C$7,C337,IF('계산기'!$C$8="원리금균등",IF('계산기'!$C$12=0,'계산기'!$C$5/'계산기'!$C$7,PMT('계산기'!$C$12,'계산기'!$C$7,-'계산기'!$C$5))-D337,IF('계산기'!$C$8="원금균등",'계산기'!$C$5/'계산기'!$C$7,0))))</f>
      </c>
      <c r="F337" s="30">
        <f>IF(B337="","",D337+E337)</f>
      </c>
      <c r="G337" s="30">
        <f>IF(B337="","",C337-E337)</f>
      </c>
    </row>
    <row r="338" spans="2:7" x14ac:dyDescent="0.25">
      <c r="B338" s="29">
        <f>IF(333&lt;='계산기'!$C$7,333,"")</f>
      </c>
      <c r="C338" s="30">
        <f>IF(B338="","",G337)</f>
      </c>
      <c r="D338" s="30">
        <f>IF(B338="","",C338*'계산기'!$C$12)</f>
      </c>
      <c r="E338" s="30">
        <f>IF(B338="","",IF(B338='계산기'!$C$7,C338,IF('계산기'!$C$8="원리금균등",IF('계산기'!$C$12=0,'계산기'!$C$5/'계산기'!$C$7,PMT('계산기'!$C$12,'계산기'!$C$7,-'계산기'!$C$5))-D338,IF('계산기'!$C$8="원금균등",'계산기'!$C$5/'계산기'!$C$7,0))))</f>
      </c>
      <c r="F338" s="30">
        <f>IF(B338="","",D338+E338)</f>
      </c>
      <c r="G338" s="30">
        <f>IF(B338="","",C338-E338)</f>
      </c>
    </row>
    <row r="339" spans="2:7" x14ac:dyDescent="0.25">
      <c r="B339" s="29">
        <f>IF(334&lt;='계산기'!$C$7,334,"")</f>
      </c>
      <c r="C339" s="30">
        <f>IF(B339="","",G338)</f>
      </c>
      <c r="D339" s="30">
        <f>IF(B339="","",C339*'계산기'!$C$12)</f>
      </c>
      <c r="E339" s="30">
        <f>IF(B339="","",IF(B339='계산기'!$C$7,C339,IF('계산기'!$C$8="원리금균등",IF('계산기'!$C$12=0,'계산기'!$C$5/'계산기'!$C$7,PMT('계산기'!$C$12,'계산기'!$C$7,-'계산기'!$C$5))-D339,IF('계산기'!$C$8="원금균등",'계산기'!$C$5/'계산기'!$C$7,0))))</f>
      </c>
      <c r="F339" s="30">
        <f>IF(B339="","",D339+E339)</f>
      </c>
      <c r="G339" s="30">
        <f>IF(B339="","",C339-E339)</f>
      </c>
    </row>
    <row r="340" spans="2:7" x14ac:dyDescent="0.25">
      <c r="B340" s="29">
        <f>IF(335&lt;='계산기'!$C$7,335,"")</f>
      </c>
      <c r="C340" s="30">
        <f>IF(B340="","",G339)</f>
      </c>
      <c r="D340" s="30">
        <f>IF(B340="","",C340*'계산기'!$C$12)</f>
      </c>
      <c r="E340" s="30">
        <f>IF(B340="","",IF(B340='계산기'!$C$7,C340,IF('계산기'!$C$8="원리금균등",IF('계산기'!$C$12=0,'계산기'!$C$5/'계산기'!$C$7,PMT('계산기'!$C$12,'계산기'!$C$7,-'계산기'!$C$5))-D340,IF('계산기'!$C$8="원금균등",'계산기'!$C$5/'계산기'!$C$7,0))))</f>
      </c>
      <c r="F340" s="30">
        <f>IF(B340="","",D340+E340)</f>
      </c>
      <c r="G340" s="30">
        <f>IF(B340="","",C340-E340)</f>
      </c>
    </row>
    <row r="341" spans="2:7" x14ac:dyDescent="0.25">
      <c r="B341" s="29">
        <f>IF(336&lt;='계산기'!$C$7,336,"")</f>
      </c>
      <c r="C341" s="30">
        <f>IF(B341="","",G340)</f>
      </c>
      <c r="D341" s="30">
        <f>IF(B341="","",C341*'계산기'!$C$12)</f>
      </c>
      <c r="E341" s="30">
        <f>IF(B341="","",IF(B341='계산기'!$C$7,C341,IF('계산기'!$C$8="원리금균등",IF('계산기'!$C$12=0,'계산기'!$C$5/'계산기'!$C$7,PMT('계산기'!$C$12,'계산기'!$C$7,-'계산기'!$C$5))-D341,IF('계산기'!$C$8="원금균등",'계산기'!$C$5/'계산기'!$C$7,0))))</f>
      </c>
      <c r="F341" s="30">
        <f>IF(B341="","",D341+E341)</f>
      </c>
      <c r="G341" s="30">
        <f>IF(B341="","",C341-E341)</f>
      </c>
    </row>
    <row r="342" spans="2:7" x14ac:dyDescent="0.25">
      <c r="B342" s="29">
        <f>IF(337&lt;='계산기'!$C$7,337,"")</f>
      </c>
      <c r="C342" s="30">
        <f>IF(B342="","",G341)</f>
      </c>
      <c r="D342" s="30">
        <f>IF(B342="","",C342*'계산기'!$C$12)</f>
      </c>
      <c r="E342" s="30">
        <f>IF(B342="","",IF(B342='계산기'!$C$7,C342,IF('계산기'!$C$8="원리금균등",IF('계산기'!$C$12=0,'계산기'!$C$5/'계산기'!$C$7,PMT('계산기'!$C$12,'계산기'!$C$7,-'계산기'!$C$5))-D342,IF('계산기'!$C$8="원금균등",'계산기'!$C$5/'계산기'!$C$7,0))))</f>
      </c>
      <c r="F342" s="30">
        <f>IF(B342="","",D342+E342)</f>
      </c>
      <c r="G342" s="30">
        <f>IF(B342="","",C342-E342)</f>
      </c>
    </row>
    <row r="343" spans="2:7" x14ac:dyDescent="0.25">
      <c r="B343" s="29">
        <f>IF(338&lt;='계산기'!$C$7,338,"")</f>
      </c>
      <c r="C343" s="30">
        <f>IF(B343="","",G342)</f>
      </c>
      <c r="D343" s="30">
        <f>IF(B343="","",C343*'계산기'!$C$12)</f>
      </c>
      <c r="E343" s="30">
        <f>IF(B343="","",IF(B343='계산기'!$C$7,C343,IF('계산기'!$C$8="원리금균등",IF('계산기'!$C$12=0,'계산기'!$C$5/'계산기'!$C$7,PMT('계산기'!$C$12,'계산기'!$C$7,-'계산기'!$C$5))-D343,IF('계산기'!$C$8="원금균등",'계산기'!$C$5/'계산기'!$C$7,0))))</f>
      </c>
      <c r="F343" s="30">
        <f>IF(B343="","",D343+E343)</f>
      </c>
      <c r="G343" s="30">
        <f>IF(B343="","",C343-E343)</f>
      </c>
    </row>
    <row r="344" spans="2:7" x14ac:dyDescent="0.25">
      <c r="B344" s="29">
        <f>IF(339&lt;='계산기'!$C$7,339,"")</f>
      </c>
      <c r="C344" s="30">
        <f>IF(B344="","",G343)</f>
      </c>
      <c r="D344" s="30">
        <f>IF(B344="","",C344*'계산기'!$C$12)</f>
      </c>
      <c r="E344" s="30">
        <f>IF(B344="","",IF(B344='계산기'!$C$7,C344,IF('계산기'!$C$8="원리금균등",IF('계산기'!$C$12=0,'계산기'!$C$5/'계산기'!$C$7,PMT('계산기'!$C$12,'계산기'!$C$7,-'계산기'!$C$5))-D344,IF('계산기'!$C$8="원금균등",'계산기'!$C$5/'계산기'!$C$7,0))))</f>
      </c>
      <c r="F344" s="30">
        <f>IF(B344="","",D344+E344)</f>
      </c>
      <c r="G344" s="30">
        <f>IF(B344="","",C344-E344)</f>
      </c>
    </row>
    <row r="345" spans="2:7" x14ac:dyDescent="0.25">
      <c r="B345" s="29">
        <f>IF(340&lt;='계산기'!$C$7,340,"")</f>
      </c>
      <c r="C345" s="30">
        <f>IF(B345="","",G344)</f>
      </c>
      <c r="D345" s="30">
        <f>IF(B345="","",C345*'계산기'!$C$12)</f>
      </c>
      <c r="E345" s="30">
        <f>IF(B345="","",IF(B345='계산기'!$C$7,C345,IF('계산기'!$C$8="원리금균등",IF('계산기'!$C$12=0,'계산기'!$C$5/'계산기'!$C$7,PMT('계산기'!$C$12,'계산기'!$C$7,-'계산기'!$C$5))-D345,IF('계산기'!$C$8="원금균등",'계산기'!$C$5/'계산기'!$C$7,0))))</f>
      </c>
      <c r="F345" s="30">
        <f>IF(B345="","",D345+E345)</f>
      </c>
      <c r="G345" s="30">
        <f>IF(B345="","",C345-E345)</f>
      </c>
    </row>
    <row r="346" spans="2:7" x14ac:dyDescent="0.25">
      <c r="B346" s="29">
        <f>IF(341&lt;='계산기'!$C$7,341,"")</f>
      </c>
      <c r="C346" s="30">
        <f>IF(B346="","",G345)</f>
      </c>
      <c r="D346" s="30">
        <f>IF(B346="","",C346*'계산기'!$C$12)</f>
      </c>
      <c r="E346" s="30">
        <f>IF(B346="","",IF(B346='계산기'!$C$7,C346,IF('계산기'!$C$8="원리금균등",IF('계산기'!$C$12=0,'계산기'!$C$5/'계산기'!$C$7,PMT('계산기'!$C$12,'계산기'!$C$7,-'계산기'!$C$5))-D346,IF('계산기'!$C$8="원금균등",'계산기'!$C$5/'계산기'!$C$7,0))))</f>
      </c>
      <c r="F346" s="30">
        <f>IF(B346="","",D346+E346)</f>
      </c>
      <c r="G346" s="30">
        <f>IF(B346="","",C346-E346)</f>
      </c>
    </row>
    <row r="347" spans="2:7" x14ac:dyDescent="0.25">
      <c r="B347" s="29">
        <f>IF(342&lt;='계산기'!$C$7,342,"")</f>
      </c>
      <c r="C347" s="30">
        <f>IF(B347="","",G346)</f>
      </c>
      <c r="D347" s="30">
        <f>IF(B347="","",C347*'계산기'!$C$12)</f>
      </c>
      <c r="E347" s="30">
        <f>IF(B347="","",IF(B347='계산기'!$C$7,C347,IF('계산기'!$C$8="원리금균등",IF('계산기'!$C$12=0,'계산기'!$C$5/'계산기'!$C$7,PMT('계산기'!$C$12,'계산기'!$C$7,-'계산기'!$C$5))-D347,IF('계산기'!$C$8="원금균등",'계산기'!$C$5/'계산기'!$C$7,0))))</f>
      </c>
      <c r="F347" s="30">
        <f>IF(B347="","",D347+E347)</f>
      </c>
      <c r="G347" s="30">
        <f>IF(B347="","",C347-E347)</f>
      </c>
    </row>
    <row r="348" spans="2:7" x14ac:dyDescent="0.25">
      <c r="B348" s="29">
        <f>IF(343&lt;='계산기'!$C$7,343,"")</f>
      </c>
      <c r="C348" s="30">
        <f>IF(B348="","",G347)</f>
      </c>
      <c r="D348" s="30">
        <f>IF(B348="","",C348*'계산기'!$C$12)</f>
      </c>
      <c r="E348" s="30">
        <f>IF(B348="","",IF(B348='계산기'!$C$7,C348,IF('계산기'!$C$8="원리금균등",IF('계산기'!$C$12=0,'계산기'!$C$5/'계산기'!$C$7,PMT('계산기'!$C$12,'계산기'!$C$7,-'계산기'!$C$5))-D348,IF('계산기'!$C$8="원금균등",'계산기'!$C$5/'계산기'!$C$7,0))))</f>
      </c>
      <c r="F348" s="30">
        <f>IF(B348="","",D348+E348)</f>
      </c>
      <c r="G348" s="30">
        <f>IF(B348="","",C348-E348)</f>
      </c>
    </row>
    <row r="349" spans="2:7" x14ac:dyDescent="0.25">
      <c r="B349" s="29">
        <f>IF(344&lt;='계산기'!$C$7,344,"")</f>
      </c>
      <c r="C349" s="30">
        <f>IF(B349="","",G348)</f>
      </c>
      <c r="D349" s="30">
        <f>IF(B349="","",C349*'계산기'!$C$12)</f>
      </c>
      <c r="E349" s="30">
        <f>IF(B349="","",IF(B349='계산기'!$C$7,C349,IF('계산기'!$C$8="원리금균등",IF('계산기'!$C$12=0,'계산기'!$C$5/'계산기'!$C$7,PMT('계산기'!$C$12,'계산기'!$C$7,-'계산기'!$C$5))-D349,IF('계산기'!$C$8="원금균등",'계산기'!$C$5/'계산기'!$C$7,0))))</f>
      </c>
      <c r="F349" s="30">
        <f>IF(B349="","",D349+E349)</f>
      </c>
      <c r="G349" s="30">
        <f>IF(B349="","",C349-E349)</f>
      </c>
    </row>
    <row r="350" spans="2:7" x14ac:dyDescent="0.25">
      <c r="B350" s="29">
        <f>IF(345&lt;='계산기'!$C$7,345,"")</f>
      </c>
      <c r="C350" s="30">
        <f>IF(B350="","",G349)</f>
      </c>
      <c r="D350" s="30">
        <f>IF(B350="","",C350*'계산기'!$C$12)</f>
      </c>
      <c r="E350" s="30">
        <f>IF(B350="","",IF(B350='계산기'!$C$7,C350,IF('계산기'!$C$8="원리금균등",IF('계산기'!$C$12=0,'계산기'!$C$5/'계산기'!$C$7,PMT('계산기'!$C$12,'계산기'!$C$7,-'계산기'!$C$5))-D350,IF('계산기'!$C$8="원금균등",'계산기'!$C$5/'계산기'!$C$7,0))))</f>
      </c>
      <c r="F350" s="30">
        <f>IF(B350="","",D350+E350)</f>
      </c>
      <c r="G350" s="30">
        <f>IF(B350="","",C350-E350)</f>
      </c>
    </row>
    <row r="351" spans="2:7" x14ac:dyDescent="0.25">
      <c r="B351" s="29">
        <f>IF(346&lt;='계산기'!$C$7,346,"")</f>
      </c>
      <c r="C351" s="30">
        <f>IF(B351="","",G350)</f>
      </c>
      <c r="D351" s="30">
        <f>IF(B351="","",C351*'계산기'!$C$12)</f>
      </c>
      <c r="E351" s="30">
        <f>IF(B351="","",IF(B351='계산기'!$C$7,C351,IF('계산기'!$C$8="원리금균등",IF('계산기'!$C$12=0,'계산기'!$C$5/'계산기'!$C$7,PMT('계산기'!$C$12,'계산기'!$C$7,-'계산기'!$C$5))-D351,IF('계산기'!$C$8="원금균등",'계산기'!$C$5/'계산기'!$C$7,0))))</f>
      </c>
      <c r="F351" s="30">
        <f>IF(B351="","",D351+E351)</f>
      </c>
      <c r="G351" s="30">
        <f>IF(B351="","",C351-E351)</f>
      </c>
    </row>
    <row r="352" spans="2:7" x14ac:dyDescent="0.25">
      <c r="B352" s="29">
        <f>IF(347&lt;='계산기'!$C$7,347,"")</f>
      </c>
      <c r="C352" s="30">
        <f>IF(B352="","",G351)</f>
      </c>
      <c r="D352" s="30">
        <f>IF(B352="","",C352*'계산기'!$C$12)</f>
      </c>
      <c r="E352" s="30">
        <f>IF(B352="","",IF(B352='계산기'!$C$7,C352,IF('계산기'!$C$8="원리금균등",IF('계산기'!$C$12=0,'계산기'!$C$5/'계산기'!$C$7,PMT('계산기'!$C$12,'계산기'!$C$7,-'계산기'!$C$5))-D352,IF('계산기'!$C$8="원금균등",'계산기'!$C$5/'계산기'!$C$7,0))))</f>
      </c>
      <c r="F352" s="30">
        <f>IF(B352="","",D352+E352)</f>
      </c>
      <c r="G352" s="30">
        <f>IF(B352="","",C352-E352)</f>
      </c>
    </row>
    <row r="353" spans="2:7" x14ac:dyDescent="0.25">
      <c r="B353" s="29">
        <f>IF(348&lt;='계산기'!$C$7,348,"")</f>
      </c>
      <c r="C353" s="30">
        <f>IF(B353="","",G352)</f>
      </c>
      <c r="D353" s="30">
        <f>IF(B353="","",C353*'계산기'!$C$12)</f>
      </c>
      <c r="E353" s="30">
        <f>IF(B353="","",IF(B353='계산기'!$C$7,C353,IF('계산기'!$C$8="원리금균등",IF('계산기'!$C$12=0,'계산기'!$C$5/'계산기'!$C$7,PMT('계산기'!$C$12,'계산기'!$C$7,-'계산기'!$C$5))-D353,IF('계산기'!$C$8="원금균등",'계산기'!$C$5/'계산기'!$C$7,0))))</f>
      </c>
      <c r="F353" s="30">
        <f>IF(B353="","",D353+E353)</f>
      </c>
      <c r="G353" s="30">
        <f>IF(B353="","",C353-E353)</f>
      </c>
    </row>
    <row r="354" spans="2:7" x14ac:dyDescent="0.25">
      <c r="B354" s="29">
        <f>IF(349&lt;='계산기'!$C$7,349,"")</f>
      </c>
      <c r="C354" s="30">
        <f>IF(B354="","",G353)</f>
      </c>
      <c r="D354" s="30">
        <f>IF(B354="","",C354*'계산기'!$C$12)</f>
      </c>
      <c r="E354" s="30">
        <f>IF(B354="","",IF(B354='계산기'!$C$7,C354,IF('계산기'!$C$8="원리금균등",IF('계산기'!$C$12=0,'계산기'!$C$5/'계산기'!$C$7,PMT('계산기'!$C$12,'계산기'!$C$7,-'계산기'!$C$5))-D354,IF('계산기'!$C$8="원금균등",'계산기'!$C$5/'계산기'!$C$7,0))))</f>
      </c>
      <c r="F354" s="30">
        <f>IF(B354="","",D354+E354)</f>
      </c>
      <c r="G354" s="30">
        <f>IF(B354="","",C354-E354)</f>
      </c>
    </row>
    <row r="355" spans="2:7" x14ac:dyDescent="0.25">
      <c r="B355" s="29">
        <f>IF(350&lt;='계산기'!$C$7,350,"")</f>
      </c>
      <c r="C355" s="30">
        <f>IF(B355="","",G354)</f>
      </c>
      <c r="D355" s="30">
        <f>IF(B355="","",C355*'계산기'!$C$12)</f>
      </c>
      <c r="E355" s="30">
        <f>IF(B355="","",IF(B355='계산기'!$C$7,C355,IF('계산기'!$C$8="원리금균등",IF('계산기'!$C$12=0,'계산기'!$C$5/'계산기'!$C$7,PMT('계산기'!$C$12,'계산기'!$C$7,-'계산기'!$C$5))-D355,IF('계산기'!$C$8="원금균등",'계산기'!$C$5/'계산기'!$C$7,0))))</f>
      </c>
      <c r="F355" s="30">
        <f>IF(B355="","",D355+E355)</f>
      </c>
      <c r="G355" s="30">
        <f>IF(B355="","",C355-E355)</f>
      </c>
    </row>
    <row r="356" spans="2:7" x14ac:dyDescent="0.25">
      <c r="B356" s="29">
        <f>IF(351&lt;='계산기'!$C$7,351,"")</f>
      </c>
      <c r="C356" s="30">
        <f>IF(B356="","",G355)</f>
      </c>
      <c r="D356" s="30">
        <f>IF(B356="","",C356*'계산기'!$C$12)</f>
      </c>
      <c r="E356" s="30">
        <f>IF(B356="","",IF(B356='계산기'!$C$7,C356,IF('계산기'!$C$8="원리금균등",IF('계산기'!$C$12=0,'계산기'!$C$5/'계산기'!$C$7,PMT('계산기'!$C$12,'계산기'!$C$7,-'계산기'!$C$5))-D356,IF('계산기'!$C$8="원금균등",'계산기'!$C$5/'계산기'!$C$7,0))))</f>
      </c>
      <c r="F356" s="30">
        <f>IF(B356="","",D356+E356)</f>
      </c>
      <c r="G356" s="30">
        <f>IF(B356="","",C356-E356)</f>
      </c>
    </row>
    <row r="357" spans="2:7" x14ac:dyDescent="0.25">
      <c r="B357" s="29">
        <f>IF(352&lt;='계산기'!$C$7,352,"")</f>
      </c>
      <c r="C357" s="30">
        <f>IF(B357="","",G356)</f>
      </c>
      <c r="D357" s="30">
        <f>IF(B357="","",C357*'계산기'!$C$12)</f>
      </c>
      <c r="E357" s="30">
        <f>IF(B357="","",IF(B357='계산기'!$C$7,C357,IF('계산기'!$C$8="원리금균등",IF('계산기'!$C$12=0,'계산기'!$C$5/'계산기'!$C$7,PMT('계산기'!$C$12,'계산기'!$C$7,-'계산기'!$C$5))-D357,IF('계산기'!$C$8="원금균등",'계산기'!$C$5/'계산기'!$C$7,0))))</f>
      </c>
      <c r="F357" s="30">
        <f>IF(B357="","",D357+E357)</f>
      </c>
      <c r="G357" s="30">
        <f>IF(B357="","",C357-E357)</f>
      </c>
    </row>
    <row r="358" spans="2:7" x14ac:dyDescent="0.25">
      <c r="B358" s="29">
        <f>IF(353&lt;='계산기'!$C$7,353,"")</f>
      </c>
      <c r="C358" s="30">
        <f>IF(B358="","",G357)</f>
      </c>
      <c r="D358" s="30">
        <f>IF(B358="","",C358*'계산기'!$C$12)</f>
      </c>
      <c r="E358" s="30">
        <f>IF(B358="","",IF(B358='계산기'!$C$7,C358,IF('계산기'!$C$8="원리금균등",IF('계산기'!$C$12=0,'계산기'!$C$5/'계산기'!$C$7,PMT('계산기'!$C$12,'계산기'!$C$7,-'계산기'!$C$5))-D358,IF('계산기'!$C$8="원금균등",'계산기'!$C$5/'계산기'!$C$7,0))))</f>
      </c>
      <c r="F358" s="30">
        <f>IF(B358="","",D358+E358)</f>
      </c>
      <c r="G358" s="30">
        <f>IF(B358="","",C358-E358)</f>
      </c>
    </row>
    <row r="359" spans="2:7" x14ac:dyDescent="0.25">
      <c r="B359" s="29">
        <f>IF(354&lt;='계산기'!$C$7,354,"")</f>
      </c>
      <c r="C359" s="30">
        <f>IF(B359="","",G358)</f>
      </c>
      <c r="D359" s="30">
        <f>IF(B359="","",C359*'계산기'!$C$12)</f>
      </c>
      <c r="E359" s="30">
        <f>IF(B359="","",IF(B359='계산기'!$C$7,C359,IF('계산기'!$C$8="원리금균등",IF('계산기'!$C$12=0,'계산기'!$C$5/'계산기'!$C$7,PMT('계산기'!$C$12,'계산기'!$C$7,-'계산기'!$C$5))-D359,IF('계산기'!$C$8="원금균등",'계산기'!$C$5/'계산기'!$C$7,0))))</f>
      </c>
      <c r="F359" s="30">
        <f>IF(B359="","",D359+E359)</f>
      </c>
      <c r="G359" s="30">
        <f>IF(B359="","",C359-E359)</f>
      </c>
    </row>
    <row r="360" spans="2:7" x14ac:dyDescent="0.25">
      <c r="B360" s="29">
        <f>IF(355&lt;='계산기'!$C$7,355,"")</f>
      </c>
      <c r="C360" s="30">
        <f>IF(B360="","",G359)</f>
      </c>
      <c r="D360" s="30">
        <f>IF(B360="","",C360*'계산기'!$C$12)</f>
      </c>
      <c r="E360" s="30">
        <f>IF(B360="","",IF(B360='계산기'!$C$7,C360,IF('계산기'!$C$8="원리금균등",IF('계산기'!$C$12=0,'계산기'!$C$5/'계산기'!$C$7,PMT('계산기'!$C$12,'계산기'!$C$7,-'계산기'!$C$5))-D360,IF('계산기'!$C$8="원금균등",'계산기'!$C$5/'계산기'!$C$7,0))))</f>
      </c>
      <c r="F360" s="30">
        <f>IF(B360="","",D360+E360)</f>
      </c>
      <c r="G360" s="30">
        <f>IF(B360="","",C360-E360)</f>
      </c>
    </row>
    <row r="361" spans="2:7" x14ac:dyDescent="0.25">
      <c r="B361" s="29">
        <f>IF(356&lt;='계산기'!$C$7,356,"")</f>
      </c>
      <c r="C361" s="30">
        <f>IF(B361="","",G360)</f>
      </c>
      <c r="D361" s="30">
        <f>IF(B361="","",C361*'계산기'!$C$12)</f>
      </c>
      <c r="E361" s="30">
        <f>IF(B361="","",IF(B361='계산기'!$C$7,C361,IF('계산기'!$C$8="원리금균등",IF('계산기'!$C$12=0,'계산기'!$C$5/'계산기'!$C$7,PMT('계산기'!$C$12,'계산기'!$C$7,-'계산기'!$C$5))-D361,IF('계산기'!$C$8="원금균등",'계산기'!$C$5/'계산기'!$C$7,0))))</f>
      </c>
      <c r="F361" s="30">
        <f>IF(B361="","",D361+E361)</f>
      </c>
      <c r="G361" s="30">
        <f>IF(B361="","",C361-E361)</f>
      </c>
    </row>
    <row r="362" spans="2:7" x14ac:dyDescent="0.25">
      <c r="B362" s="29">
        <f>IF(357&lt;='계산기'!$C$7,357,"")</f>
      </c>
      <c r="C362" s="30">
        <f>IF(B362="","",G361)</f>
      </c>
      <c r="D362" s="30">
        <f>IF(B362="","",C362*'계산기'!$C$12)</f>
      </c>
      <c r="E362" s="30">
        <f>IF(B362="","",IF(B362='계산기'!$C$7,C362,IF('계산기'!$C$8="원리금균등",IF('계산기'!$C$12=0,'계산기'!$C$5/'계산기'!$C$7,PMT('계산기'!$C$12,'계산기'!$C$7,-'계산기'!$C$5))-D362,IF('계산기'!$C$8="원금균등",'계산기'!$C$5/'계산기'!$C$7,0))))</f>
      </c>
      <c r="F362" s="30">
        <f>IF(B362="","",D362+E362)</f>
      </c>
      <c r="G362" s="30">
        <f>IF(B362="","",C362-E362)</f>
      </c>
    </row>
    <row r="363" spans="2:7" x14ac:dyDescent="0.25">
      <c r="B363" s="29">
        <f>IF(358&lt;='계산기'!$C$7,358,"")</f>
      </c>
      <c r="C363" s="30">
        <f>IF(B363="","",G362)</f>
      </c>
      <c r="D363" s="30">
        <f>IF(B363="","",C363*'계산기'!$C$12)</f>
      </c>
      <c r="E363" s="30">
        <f>IF(B363="","",IF(B363='계산기'!$C$7,C363,IF('계산기'!$C$8="원리금균등",IF('계산기'!$C$12=0,'계산기'!$C$5/'계산기'!$C$7,PMT('계산기'!$C$12,'계산기'!$C$7,-'계산기'!$C$5))-D363,IF('계산기'!$C$8="원금균등",'계산기'!$C$5/'계산기'!$C$7,0))))</f>
      </c>
      <c r="F363" s="30">
        <f>IF(B363="","",D363+E363)</f>
      </c>
      <c r="G363" s="30">
        <f>IF(B363="","",C363-E363)</f>
      </c>
    </row>
    <row r="364" spans="2:7" x14ac:dyDescent="0.25">
      <c r="B364" s="29">
        <f>IF(359&lt;='계산기'!$C$7,359,"")</f>
      </c>
      <c r="C364" s="30">
        <f>IF(B364="","",G363)</f>
      </c>
      <c r="D364" s="30">
        <f>IF(B364="","",C364*'계산기'!$C$12)</f>
      </c>
      <c r="E364" s="30">
        <f>IF(B364="","",IF(B364='계산기'!$C$7,C364,IF('계산기'!$C$8="원리금균등",IF('계산기'!$C$12=0,'계산기'!$C$5/'계산기'!$C$7,PMT('계산기'!$C$12,'계산기'!$C$7,-'계산기'!$C$5))-D364,IF('계산기'!$C$8="원금균등",'계산기'!$C$5/'계산기'!$C$7,0))))</f>
      </c>
      <c r="F364" s="30">
        <f>IF(B364="","",D364+E364)</f>
      </c>
      <c r="G364" s="30">
        <f>IF(B364="","",C364-E364)</f>
      </c>
    </row>
    <row r="365" spans="2:7" x14ac:dyDescent="0.25">
      <c r="B365" s="29">
        <f>IF(360&lt;='계산기'!$C$7,360,"")</f>
      </c>
      <c r="C365" s="30">
        <f>IF(B365="","",G364)</f>
      </c>
      <c r="D365" s="30">
        <f>IF(B365="","",C365*'계산기'!$C$12)</f>
      </c>
      <c r="E365" s="30">
        <f>IF(B365="","",IF(B365='계산기'!$C$7,C365,IF('계산기'!$C$8="원리금균등",IF('계산기'!$C$12=0,'계산기'!$C$5/'계산기'!$C$7,PMT('계산기'!$C$12,'계산기'!$C$7,-'계산기'!$C$5))-D365,IF('계산기'!$C$8="원금균등",'계산기'!$C$5/'계산기'!$C$7,0))))</f>
      </c>
      <c r="F365" s="30">
        <f>IF(B365="","",D365+E365)</f>
      </c>
      <c r="G365" s="30">
        <f>IF(B365="","",C365-E365)</f>
      </c>
    </row>
    <row r="366" spans="2:7" x14ac:dyDescent="0.25">
      <c r="B366" s="29">
        <f>IF(361&lt;='계산기'!$C$7,361,"")</f>
      </c>
      <c r="C366" s="30">
        <f>IF(B366="","",G365)</f>
      </c>
      <c r="D366" s="30">
        <f>IF(B366="","",C366*'계산기'!$C$12)</f>
      </c>
      <c r="E366" s="30">
        <f>IF(B366="","",IF(B366='계산기'!$C$7,C366,IF('계산기'!$C$8="원리금균등",IF('계산기'!$C$12=0,'계산기'!$C$5/'계산기'!$C$7,PMT('계산기'!$C$12,'계산기'!$C$7,-'계산기'!$C$5))-D366,IF('계산기'!$C$8="원금균등",'계산기'!$C$5/'계산기'!$C$7,0))))</f>
      </c>
      <c r="F366" s="30">
        <f>IF(B366="","",D366+E366)</f>
      </c>
      <c r="G366" s="30">
        <f>IF(B366="","",C366-E366)</f>
      </c>
    </row>
    <row r="367" spans="2:7" x14ac:dyDescent="0.25">
      <c r="B367" s="29">
        <f>IF(362&lt;='계산기'!$C$7,362,"")</f>
      </c>
      <c r="C367" s="30">
        <f>IF(B367="","",G366)</f>
      </c>
      <c r="D367" s="30">
        <f>IF(B367="","",C367*'계산기'!$C$12)</f>
      </c>
      <c r="E367" s="30">
        <f>IF(B367="","",IF(B367='계산기'!$C$7,C367,IF('계산기'!$C$8="원리금균등",IF('계산기'!$C$12=0,'계산기'!$C$5/'계산기'!$C$7,PMT('계산기'!$C$12,'계산기'!$C$7,-'계산기'!$C$5))-D367,IF('계산기'!$C$8="원금균등",'계산기'!$C$5/'계산기'!$C$7,0))))</f>
      </c>
      <c r="F367" s="30">
        <f>IF(B367="","",D367+E367)</f>
      </c>
      <c r="G367" s="30">
        <f>IF(B367="","",C367-E367)</f>
      </c>
    </row>
    <row r="368" spans="2:7" x14ac:dyDescent="0.25">
      <c r="B368" s="29">
        <f>IF(363&lt;='계산기'!$C$7,363,"")</f>
      </c>
      <c r="C368" s="30">
        <f>IF(B368="","",G367)</f>
      </c>
      <c r="D368" s="30">
        <f>IF(B368="","",C368*'계산기'!$C$12)</f>
      </c>
      <c r="E368" s="30">
        <f>IF(B368="","",IF(B368='계산기'!$C$7,C368,IF('계산기'!$C$8="원리금균등",IF('계산기'!$C$12=0,'계산기'!$C$5/'계산기'!$C$7,PMT('계산기'!$C$12,'계산기'!$C$7,-'계산기'!$C$5))-D368,IF('계산기'!$C$8="원금균등",'계산기'!$C$5/'계산기'!$C$7,0))))</f>
      </c>
      <c r="F368" s="30">
        <f>IF(B368="","",D368+E368)</f>
      </c>
      <c r="G368" s="30">
        <f>IF(B368="","",C368-E368)</f>
      </c>
    </row>
    <row r="369" spans="2:7" x14ac:dyDescent="0.25">
      <c r="B369" s="29">
        <f>IF(364&lt;='계산기'!$C$7,364,"")</f>
      </c>
      <c r="C369" s="30">
        <f>IF(B369="","",G368)</f>
      </c>
      <c r="D369" s="30">
        <f>IF(B369="","",C369*'계산기'!$C$12)</f>
      </c>
      <c r="E369" s="30">
        <f>IF(B369="","",IF(B369='계산기'!$C$7,C369,IF('계산기'!$C$8="원리금균등",IF('계산기'!$C$12=0,'계산기'!$C$5/'계산기'!$C$7,PMT('계산기'!$C$12,'계산기'!$C$7,-'계산기'!$C$5))-D369,IF('계산기'!$C$8="원금균등",'계산기'!$C$5/'계산기'!$C$7,0))))</f>
      </c>
      <c r="F369" s="30">
        <f>IF(B369="","",D369+E369)</f>
      </c>
      <c r="G369" s="30">
        <f>IF(B369="","",C369-E369)</f>
      </c>
    </row>
    <row r="370" spans="2:7" x14ac:dyDescent="0.25">
      <c r="B370" s="29">
        <f>IF(365&lt;='계산기'!$C$7,365,"")</f>
      </c>
      <c r="C370" s="30">
        <f>IF(B370="","",G369)</f>
      </c>
      <c r="D370" s="30">
        <f>IF(B370="","",C370*'계산기'!$C$12)</f>
      </c>
      <c r="E370" s="30">
        <f>IF(B370="","",IF(B370='계산기'!$C$7,C370,IF('계산기'!$C$8="원리금균등",IF('계산기'!$C$12=0,'계산기'!$C$5/'계산기'!$C$7,PMT('계산기'!$C$12,'계산기'!$C$7,-'계산기'!$C$5))-D370,IF('계산기'!$C$8="원금균등",'계산기'!$C$5/'계산기'!$C$7,0))))</f>
      </c>
      <c r="F370" s="30">
        <f>IF(B370="","",D370+E370)</f>
      </c>
      <c r="G370" s="30">
        <f>IF(B370="","",C370-E370)</f>
      </c>
    </row>
    <row r="371" spans="2:7" x14ac:dyDescent="0.25">
      <c r="B371" s="29">
        <f>IF(366&lt;='계산기'!$C$7,366,"")</f>
      </c>
      <c r="C371" s="30">
        <f>IF(B371="","",G370)</f>
      </c>
      <c r="D371" s="30">
        <f>IF(B371="","",C371*'계산기'!$C$12)</f>
      </c>
      <c r="E371" s="30">
        <f>IF(B371="","",IF(B371='계산기'!$C$7,C371,IF('계산기'!$C$8="원리금균등",IF('계산기'!$C$12=0,'계산기'!$C$5/'계산기'!$C$7,PMT('계산기'!$C$12,'계산기'!$C$7,-'계산기'!$C$5))-D371,IF('계산기'!$C$8="원금균등",'계산기'!$C$5/'계산기'!$C$7,0))))</f>
      </c>
      <c r="F371" s="30">
        <f>IF(B371="","",D371+E371)</f>
      </c>
      <c r="G371" s="30">
        <f>IF(B371="","",C371-E371)</f>
      </c>
    </row>
    <row r="372" spans="2:7" x14ac:dyDescent="0.25">
      <c r="B372" s="29">
        <f>IF(367&lt;='계산기'!$C$7,367,"")</f>
      </c>
      <c r="C372" s="30">
        <f>IF(B372="","",G371)</f>
      </c>
      <c r="D372" s="30">
        <f>IF(B372="","",C372*'계산기'!$C$12)</f>
      </c>
      <c r="E372" s="30">
        <f>IF(B372="","",IF(B372='계산기'!$C$7,C372,IF('계산기'!$C$8="원리금균등",IF('계산기'!$C$12=0,'계산기'!$C$5/'계산기'!$C$7,PMT('계산기'!$C$12,'계산기'!$C$7,-'계산기'!$C$5))-D372,IF('계산기'!$C$8="원금균등",'계산기'!$C$5/'계산기'!$C$7,0))))</f>
      </c>
      <c r="F372" s="30">
        <f>IF(B372="","",D372+E372)</f>
      </c>
      <c r="G372" s="30">
        <f>IF(B372="","",C372-E372)</f>
      </c>
    </row>
    <row r="373" spans="2:7" x14ac:dyDescent="0.25">
      <c r="B373" s="29">
        <f>IF(368&lt;='계산기'!$C$7,368,"")</f>
      </c>
      <c r="C373" s="30">
        <f>IF(B373="","",G372)</f>
      </c>
      <c r="D373" s="30">
        <f>IF(B373="","",C373*'계산기'!$C$12)</f>
      </c>
      <c r="E373" s="30">
        <f>IF(B373="","",IF(B373='계산기'!$C$7,C373,IF('계산기'!$C$8="원리금균등",IF('계산기'!$C$12=0,'계산기'!$C$5/'계산기'!$C$7,PMT('계산기'!$C$12,'계산기'!$C$7,-'계산기'!$C$5))-D373,IF('계산기'!$C$8="원금균등",'계산기'!$C$5/'계산기'!$C$7,0))))</f>
      </c>
      <c r="F373" s="30">
        <f>IF(B373="","",D373+E373)</f>
      </c>
      <c r="G373" s="30">
        <f>IF(B373="","",C373-E373)</f>
      </c>
    </row>
    <row r="374" spans="2:7" x14ac:dyDescent="0.25">
      <c r="B374" s="29">
        <f>IF(369&lt;='계산기'!$C$7,369,"")</f>
      </c>
      <c r="C374" s="30">
        <f>IF(B374="","",G373)</f>
      </c>
      <c r="D374" s="30">
        <f>IF(B374="","",C374*'계산기'!$C$12)</f>
      </c>
      <c r="E374" s="30">
        <f>IF(B374="","",IF(B374='계산기'!$C$7,C374,IF('계산기'!$C$8="원리금균등",IF('계산기'!$C$12=0,'계산기'!$C$5/'계산기'!$C$7,PMT('계산기'!$C$12,'계산기'!$C$7,-'계산기'!$C$5))-D374,IF('계산기'!$C$8="원금균등",'계산기'!$C$5/'계산기'!$C$7,0))))</f>
      </c>
      <c r="F374" s="30">
        <f>IF(B374="","",D374+E374)</f>
      </c>
      <c r="G374" s="30">
        <f>IF(B374="","",C374-E374)</f>
      </c>
    </row>
    <row r="375" spans="2:7" x14ac:dyDescent="0.25">
      <c r="B375" s="29">
        <f>IF(370&lt;='계산기'!$C$7,370,"")</f>
      </c>
      <c r="C375" s="30">
        <f>IF(B375="","",G374)</f>
      </c>
      <c r="D375" s="30">
        <f>IF(B375="","",C375*'계산기'!$C$12)</f>
      </c>
      <c r="E375" s="30">
        <f>IF(B375="","",IF(B375='계산기'!$C$7,C375,IF('계산기'!$C$8="원리금균등",IF('계산기'!$C$12=0,'계산기'!$C$5/'계산기'!$C$7,PMT('계산기'!$C$12,'계산기'!$C$7,-'계산기'!$C$5))-D375,IF('계산기'!$C$8="원금균등",'계산기'!$C$5/'계산기'!$C$7,0))))</f>
      </c>
      <c r="F375" s="30">
        <f>IF(B375="","",D375+E375)</f>
      </c>
      <c r="G375" s="30">
        <f>IF(B375="","",C375-E375)</f>
      </c>
    </row>
    <row r="376" spans="2:7" x14ac:dyDescent="0.25">
      <c r="B376" s="29">
        <f>IF(371&lt;='계산기'!$C$7,371,"")</f>
      </c>
      <c r="C376" s="30">
        <f>IF(B376="","",G375)</f>
      </c>
      <c r="D376" s="30">
        <f>IF(B376="","",C376*'계산기'!$C$12)</f>
      </c>
      <c r="E376" s="30">
        <f>IF(B376="","",IF(B376='계산기'!$C$7,C376,IF('계산기'!$C$8="원리금균등",IF('계산기'!$C$12=0,'계산기'!$C$5/'계산기'!$C$7,PMT('계산기'!$C$12,'계산기'!$C$7,-'계산기'!$C$5))-D376,IF('계산기'!$C$8="원금균등",'계산기'!$C$5/'계산기'!$C$7,0))))</f>
      </c>
      <c r="F376" s="30">
        <f>IF(B376="","",D376+E376)</f>
      </c>
      <c r="G376" s="30">
        <f>IF(B376="","",C376-E376)</f>
      </c>
    </row>
    <row r="377" spans="2:7" x14ac:dyDescent="0.25">
      <c r="B377" s="29">
        <f>IF(372&lt;='계산기'!$C$7,372,"")</f>
      </c>
      <c r="C377" s="30">
        <f>IF(B377="","",G376)</f>
      </c>
      <c r="D377" s="30">
        <f>IF(B377="","",C377*'계산기'!$C$12)</f>
      </c>
      <c r="E377" s="30">
        <f>IF(B377="","",IF(B377='계산기'!$C$7,C377,IF('계산기'!$C$8="원리금균등",IF('계산기'!$C$12=0,'계산기'!$C$5/'계산기'!$C$7,PMT('계산기'!$C$12,'계산기'!$C$7,-'계산기'!$C$5))-D377,IF('계산기'!$C$8="원금균등",'계산기'!$C$5/'계산기'!$C$7,0))))</f>
      </c>
      <c r="F377" s="30">
        <f>IF(B377="","",D377+E377)</f>
      </c>
      <c r="G377" s="30">
        <f>IF(B377="","",C377-E377)</f>
      </c>
    </row>
    <row r="378" spans="2:7" x14ac:dyDescent="0.25">
      <c r="B378" s="29">
        <f>IF(373&lt;='계산기'!$C$7,373,"")</f>
      </c>
      <c r="C378" s="30">
        <f>IF(B378="","",G377)</f>
      </c>
      <c r="D378" s="30">
        <f>IF(B378="","",C378*'계산기'!$C$12)</f>
      </c>
      <c r="E378" s="30">
        <f>IF(B378="","",IF(B378='계산기'!$C$7,C378,IF('계산기'!$C$8="원리금균등",IF('계산기'!$C$12=0,'계산기'!$C$5/'계산기'!$C$7,PMT('계산기'!$C$12,'계산기'!$C$7,-'계산기'!$C$5))-D378,IF('계산기'!$C$8="원금균등",'계산기'!$C$5/'계산기'!$C$7,0))))</f>
      </c>
      <c r="F378" s="30">
        <f>IF(B378="","",D378+E378)</f>
      </c>
      <c r="G378" s="30">
        <f>IF(B378="","",C378-E378)</f>
      </c>
    </row>
    <row r="379" spans="2:7" x14ac:dyDescent="0.25">
      <c r="B379" s="29">
        <f>IF(374&lt;='계산기'!$C$7,374,"")</f>
      </c>
      <c r="C379" s="30">
        <f>IF(B379="","",G378)</f>
      </c>
      <c r="D379" s="30">
        <f>IF(B379="","",C379*'계산기'!$C$12)</f>
      </c>
      <c r="E379" s="30">
        <f>IF(B379="","",IF(B379='계산기'!$C$7,C379,IF('계산기'!$C$8="원리금균등",IF('계산기'!$C$12=0,'계산기'!$C$5/'계산기'!$C$7,PMT('계산기'!$C$12,'계산기'!$C$7,-'계산기'!$C$5))-D379,IF('계산기'!$C$8="원금균등",'계산기'!$C$5/'계산기'!$C$7,0))))</f>
      </c>
      <c r="F379" s="30">
        <f>IF(B379="","",D379+E379)</f>
      </c>
      <c r="G379" s="30">
        <f>IF(B379="","",C379-E379)</f>
      </c>
    </row>
    <row r="380" spans="2:7" x14ac:dyDescent="0.25">
      <c r="B380" s="29">
        <f>IF(375&lt;='계산기'!$C$7,375,"")</f>
      </c>
      <c r="C380" s="30">
        <f>IF(B380="","",G379)</f>
      </c>
      <c r="D380" s="30">
        <f>IF(B380="","",C380*'계산기'!$C$12)</f>
      </c>
      <c r="E380" s="30">
        <f>IF(B380="","",IF(B380='계산기'!$C$7,C380,IF('계산기'!$C$8="원리금균등",IF('계산기'!$C$12=0,'계산기'!$C$5/'계산기'!$C$7,PMT('계산기'!$C$12,'계산기'!$C$7,-'계산기'!$C$5))-D380,IF('계산기'!$C$8="원금균등",'계산기'!$C$5/'계산기'!$C$7,0))))</f>
      </c>
      <c r="F380" s="30">
        <f>IF(B380="","",D380+E380)</f>
      </c>
      <c r="G380" s="30">
        <f>IF(B380="","",C380-E380)</f>
      </c>
    </row>
    <row r="381" spans="2:7" x14ac:dyDescent="0.25">
      <c r="B381" s="29">
        <f>IF(376&lt;='계산기'!$C$7,376,"")</f>
      </c>
      <c r="C381" s="30">
        <f>IF(B381="","",G380)</f>
      </c>
      <c r="D381" s="30">
        <f>IF(B381="","",C381*'계산기'!$C$12)</f>
      </c>
      <c r="E381" s="30">
        <f>IF(B381="","",IF(B381='계산기'!$C$7,C381,IF('계산기'!$C$8="원리금균등",IF('계산기'!$C$12=0,'계산기'!$C$5/'계산기'!$C$7,PMT('계산기'!$C$12,'계산기'!$C$7,-'계산기'!$C$5))-D381,IF('계산기'!$C$8="원금균등",'계산기'!$C$5/'계산기'!$C$7,0))))</f>
      </c>
      <c r="F381" s="30">
        <f>IF(B381="","",D381+E381)</f>
      </c>
      <c r="G381" s="30">
        <f>IF(B381="","",C381-E381)</f>
      </c>
    </row>
    <row r="382" spans="2:7" x14ac:dyDescent="0.25">
      <c r="B382" s="29">
        <f>IF(377&lt;='계산기'!$C$7,377,"")</f>
      </c>
      <c r="C382" s="30">
        <f>IF(B382="","",G381)</f>
      </c>
      <c r="D382" s="30">
        <f>IF(B382="","",C382*'계산기'!$C$12)</f>
      </c>
      <c r="E382" s="30">
        <f>IF(B382="","",IF(B382='계산기'!$C$7,C382,IF('계산기'!$C$8="원리금균등",IF('계산기'!$C$12=0,'계산기'!$C$5/'계산기'!$C$7,PMT('계산기'!$C$12,'계산기'!$C$7,-'계산기'!$C$5))-D382,IF('계산기'!$C$8="원금균등",'계산기'!$C$5/'계산기'!$C$7,0))))</f>
      </c>
      <c r="F382" s="30">
        <f>IF(B382="","",D382+E382)</f>
      </c>
      <c r="G382" s="30">
        <f>IF(B382="","",C382-E382)</f>
      </c>
    </row>
    <row r="383" spans="2:7" x14ac:dyDescent="0.25">
      <c r="B383" s="29">
        <f>IF(378&lt;='계산기'!$C$7,378,"")</f>
      </c>
      <c r="C383" s="30">
        <f>IF(B383="","",G382)</f>
      </c>
      <c r="D383" s="30">
        <f>IF(B383="","",C383*'계산기'!$C$12)</f>
      </c>
      <c r="E383" s="30">
        <f>IF(B383="","",IF(B383='계산기'!$C$7,C383,IF('계산기'!$C$8="원리금균등",IF('계산기'!$C$12=0,'계산기'!$C$5/'계산기'!$C$7,PMT('계산기'!$C$12,'계산기'!$C$7,-'계산기'!$C$5))-D383,IF('계산기'!$C$8="원금균등",'계산기'!$C$5/'계산기'!$C$7,0))))</f>
      </c>
      <c r="F383" s="30">
        <f>IF(B383="","",D383+E383)</f>
      </c>
      <c r="G383" s="30">
        <f>IF(B383="","",C383-E383)</f>
      </c>
    </row>
    <row r="384" spans="2:7" x14ac:dyDescent="0.25">
      <c r="B384" s="29">
        <f>IF(379&lt;='계산기'!$C$7,379,"")</f>
      </c>
      <c r="C384" s="30">
        <f>IF(B384="","",G383)</f>
      </c>
      <c r="D384" s="30">
        <f>IF(B384="","",C384*'계산기'!$C$12)</f>
      </c>
      <c r="E384" s="30">
        <f>IF(B384="","",IF(B384='계산기'!$C$7,C384,IF('계산기'!$C$8="원리금균등",IF('계산기'!$C$12=0,'계산기'!$C$5/'계산기'!$C$7,PMT('계산기'!$C$12,'계산기'!$C$7,-'계산기'!$C$5))-D384,IF('계산기'!$C$8="원금균등",'계산기'!$C$5/'계산기'!$C$7,0))))</f>
      </c>
      <c r="F384" s="30">
        <f>IF(B384="","",D384+E384)</f>
      </c>
      <c r="G384" s="30">
        <f>IF(B384="","",C384-E384)</f>
      </c>
    </row>
    <row r="385" spans="2:7" x14ac:dyDescent="0.25">
      <c r="B385" s="29">
        <f>IF(380&lt;='계산기'!$C$7,380,"")</f>
      </c>
      <c r="C385" s="30">
        <f>IF(B385="","",G384)</f>
      </c>
      <c r="D385" s="30">
        <f>IF(B385="","",C385*'계산기'!$C$12)</f>
      </c>
      <c r="E385" s="30">
        <f>IF(B385="","",IF(B385='계산기'!$C$7,C385,IF('계산기'!$C$8="원리금균등",IF('계산기'!$C$12=0,'계산기'!$C$5/'계산기'!$C$7,PMT('계산기'!$C$12,'계산기'!$C$7,-'계산기'!$C$5))-D385,IF('계산기'!$C$8="원금균등",'계산기'!$C$5/'계산기'!$C$7,0))))</f>
      </c>
      <c r="F385" s="30">
        <f>IF(B385="","",D385+E385)</f>
      </c>
      <c r="G385" s="30">
        <f>IF(B385="","",C385-E385)</f>
      </c>
    </row>
    <row r="386" spans="2:7" x14ac:dyDescent="0.25">
      <c r="B386" s="29">
        <f>IF(381&lt;='계산기'!$C$7,381,"")</f>
      </c>
      <c r="C386" s="30">
        <f>IF(B386="","",G385)</f>
      </c>
      <c r="D386" s="30">
        <f>IF(B386="","",C386*'계산기'!$C$12)</f>
      </c>
      <c r="E386" s="30">
        <f>IF(B386="","",IF(B386='계산기'!$C$7,C386,IF('계산기'!$C$8="원리금균등",IF('계산기'!$C$12=0,'계산기'!$C$5/'계산기'!$C$7,PMT('계산기'!$C$12,'계산기'!$C$7,-'계산기'!$C$5))-D386,IF('계산기'!$C$8="원금균등",'계산기'!$C$5/'계산기'!$C$7,0))))</f>
      </c>
      <c r="F386" s="30">
        <f>IF(B386="","",D386+E386)</f>
      </c>
      <c r="G386" s="30">
        <f>IF(B386="","",C386-E386)</f>
      </c>
    </row>
    <row r="387" spans="2:7" x14ac:dyDescent="0.25">
      <c r="B387" s="29">
        <f>IF(382&lt;='계산기'!$C$7,382,"")</f>
      </c>
      <c r="C387" s="30">
        <f>IF(B387="","",G386)</f>
      </c>
      <c r="D387" s="30">
        <f>IF(B387="","",C387*'계산기'!$C$12)</f>
      </c>
      <c r="E387" s="30">
        <f>IF(B387="","",IF(B387='계산기'!$C$7,C387,IF('계산기'!$C$8="원리금균등",IF('계산기'!$C$12=0,'계산기'!$C$5/'계산기'!$C$7,PMT('계산기'!$C$12,'계산기'!$C$7,-'계산기'!$C$5))-D387,IF('계산기'!$C$8="원금균등",'계산기'!$C$5/'계산기'!$C$7,0))))</f>
      </c>
      <c r="F387" s="30">
        <f>IF(B387="","",D387+E387)</f>
      </c>
      <c r="G387" s="30">
        <f>IF(B387="","",C387-E387)</f>
      </c>
    </row>
    <row r="388" spans="2:7" x14ac:dyDescent="0.25">
      <c r="B388" s="29">
        <f>IF(383&lt;='계산기'!$C$7,383,"")</f>
      </c>
      <c r="C388" s="30">
        <f>IF(B388="","",G387)</f>
      </c>
      <c r="D388" s="30">
        <f>IF(B388="","",C388*'계산기'!$C$12)</f>
      </c>
      <c r="E388" s="30">
        <f>IF(B388="","",IF(B388='계산기'!$C$7,C388,IF('계산기'!$C$8="원리금균등",IF('계산기'!$C$12=0,'계산기'!$C$5/'계산기'!$C$7,PMT('계산기'!$C$12,'계산기'!$C$7,-'계산기'!$C$5))-D388,IF('계산기'!$C$8="원금균등",'계산기'!$C$5/'계산기'!$C$7,0))))</f>
      </c>
      <c r="F388" s="30">
        <f>IF(B388="","",D388+E388)</f>
      </c>
      <c r="G388" s="30">
        <f>IF(B388="","",C388-E388)</f>
      </c>
    </row>
    <row r="389" spans="2:7" x14ac:dyDescent="0.25">
      <c r="B389" s="29">
        <f>IF(384&lt;='계산기'!$C$7,384,"")</f>
      </c>
      <c r="C389" s="30">
        <f>IF(B389="","",G388)</f>
      </c>
      <c r="D389" s="30">
        <f>IF(B389="","",C389*'계산기'!$C$12)</f>
      </c>
      <c r="E389" s="30">
        <f>IF(B389="","",IF(B389='계산기'!$C$7,C389,IF('계산기'!$C$8="원리금균등",IF('계산기'!$C$12=0,'계산기'!$C$5/'계산기'!$C$7,PMT('계산기'!$C$12,'계산기'!$C$7,-'계산기'!$C$5))-D389,IF('계산기'!$C$8="원금균등",'계산기'!$C$5/'계산기'!$C$7,0))))</f>
      </c>
      <c r="F389" s="30">
        <f>IF(B389="","",D389+E389)</f>
      </c>
      <c r="G389" s="30">
        <f>IF(B389="","",C389-E389)</f>
      </c>
    </row>
    <row r="390" spans="2:7" x14ac:dyDescent="0.25">
      <c r="B390" s="29">
        <f>IF(385&lt;='계산기'!$C$7,385,"")</f>
      </c>
      <c r="C390" s="30">
        <f>IF(B390="","",G389)</f>
      </c>
      <c r="D390" s="30">
        <f>IF(B390="","",C390*'계산기'!$C$12)</f>
      </c>
      <c r="E390" s="30">
        <f>IF(B390="","",IF(B390='계산기'!$C$7,C390,IF('계산기'!$C$8="원리금균등",IF('계산기'!$C$12=0,'계산기'!$C$5/'계산기'!$C$7,PMT('계산기'!$C$12,'계산기'!$C$7,-'계산기'!$C$5))-D390,IF('계산기'!$C$8="원금균등",'계산기'!$C$5/'계산기'!$C$7,0))))</f>
      </c>
      <c r="F390" s="30">
        <f>IF(B390="","",D390+E390)</f>
      </c>
      <c r="G390" s="30">
        <f>IF(B390="","",C390-E390)</f>
      </c>
    </row>
    <row r="391" spans="2:7" x14ac:dyDescent="0.25">
      <c r="B391" s="29">
        <f>IF(386&lt;='계산기'!$C$7,386,"")</f>
      </c>
      <c r="C391" s="30">
        <f>IF(B391="","",G390)</f>
      </c>
      <c r="D391" s="30">
        <f>IF(B391="","",C391*'계산기'!$C$12)</f>
      </c>
      <c r="E391" s="30">
        <f>IF(B391="","",IF(B391='계산기'!$C$7,C391,IF('계산기'!$C$8="원리금균등",IF('계산기'!$C$12=0,'계산기'!$C$5/'계산기'!$C$7,PMT('계산기'!$C$12,'계산기'!$C$7,-'계산기'!$C$5))-D391,IF('계산기'!$C$8="원금균등",'계산기'!$C$5/'계산기'!$C$7,0))))</f>
      </c>
      <c r="F391" s="30">
        <f>IF(B391="","",D391+E391)</f>
      </c>
      <c r="G391" s="30">
        <f>IF(B391="","",C391-E391)</f>
      </c>
    </row>
    <row r="392" spans="2:7" x14ac:dyDescent="0.25">
      <c r="B392" s="29">
        <f>IF(387&lt;='계산기'!$C$7,387,"")</f>
      </c>
      <c r="C392" s="30">
        <f>IF(B392="","",G391)</f>
      </c>
      <c r="D392" s="30">
        <f>IF(B392="","",C392*'계산기'!$C$12)</f>
      </c>
      <c r="E392" s="30">
        <f>IF(B392="","",IF(B392='계산기'!$C$7,C392,IF('계산기'!$C$8="원리금균등",IF('계산기'!$C$12=0,'계산기'!$C$5/'계산기'!$C$7,PMT('계산기'!$C$12,'계산기'!$C$7,-'계산기'!$C$5))-D392,IF('계산기'!$C$8="원금균등",'계산기'!$C$5/'계산기'!$C$7,0))))</f>
      </c>
      <c r="F392" s="30">
        <f>IF(B392="","",D392+E392)</f>
      </c>
      <c r="G392" s="30">
        <f>IF(B392="","",C392-E392)</f>
      </c>
    </row>
    <row r="393" spans="2:7" x14ac:dyDescent="0.25">
      <c r="B393" s="29">
        <f>IF(388&lt;='계산기'!$C$7,388,"")</f>
      </c>
      <c r="C393" s="30">
        <f>IF(B393="","",G392)</f>
      </c>
      <c r="D393" s="30">
        <f>IF(B393="","",C393*'계산기'!$C$12)</f>
      </c>
      <c r="E393" s="30">
        <f>IF(B393="","",IF(B393='계산기'!$C$7,C393,IF('계산기'!$C$8="원리금균등",IF('계산기'!$C$12=0,'계산기'!$C$5/'계산기'!$C$7,PMT('계산기'!$C$12,'계산기'!$C$7,-'계산기'!$C$5))-D393,IF('계산기'!$C$8="원금균등",'계산기'!$C$5/'계산기'!$C$7,0))))</f>
      </c>
      <c r="F393" s="30">
        <f>IF(B393="","",D393+E393)</f>
      </c>
      <c r="G393" s="30">
        <f>IF(B393="","",C393-E393)</f>
      </c>
    </row>
    <row r="394" spans="2:7" x14ac:dyDescent="0.25">
      <c r="B394" s="29">
        <f>IF(389&lt;='계산기'!$C$7,389,"")</f>
      </c>
      <c r="C394" s="30">
        <f>IF(B394="","",G393)</f>
      </c>
      <c r="D394" s="30">
        <f>IF(B394="","",C394*'계산기'!$C$12)</f>
      </c>
      <c r="E394" s="30">
        <f>IF(B394="","",IF(B394='계산기'!$C$7,C394,IF('계산기'!$C$8="원리금균등",IF('계산기'!$C$12=0,'계산기'!$C$5/'계산기'!$C$7,PMT('계산기'!$C$12,'계산기'!$C$7,-'계산기'!$C$5))-D394,IF('계산기'!$C$8="원금균등",'계산기'!$C$5/'계산기'!$C$7,0))))</f>
      </c>
      <c r="F394" s="30">
        <f>IF(B394="","",D394+E394)</f>
      </c>
      <c r="G394" s="30">
        <f>IF(B394="","",C394-E394)</f>
      </c>
    </row>
    <row r="395" spans="2:7" x14ac:dyDescent="0.25">
      <c r="B395" s="29">
        <f>IF(390&lt;='계산기'!$C$7,390,"")</f>
      </c>
      <c r="C395" s="30">
        <f>IF(B395="","",G394)</f>
      </c>
      <c r="D395" s="30">
        <f>IF(B395="","",C395*'계산기'!$C$12)</f>
      </c>
      <c r="E395" s="30">
        <f>IF(B395="","",IF(B395='계산기'!$C$7,C395,IF('계산기'!$C$8="원리금균등",IF('계산기'!$C$12=0,'계산기'!$C$5/'계산기'!$C$7,PMT('계산기'!$C$12,'계산기'!$C$7,-'계산기'!$C$5))-D395,IF('계산기'!$C$8="원금균등",'계산기'!$C$5/'계산기'!$C$7,0))))</f>
      </c>
      <c r="F395" s="30">
        <f>IF(B395="","",D395+E395)</f>
      </c>
      <c r="G395" s="30">
        <f>IF(B395="","",C395-E395)</f>
      </c>
    </row>
    <row r="396" spans="2:7" x14ac:dyDescent="0.25">
      <c r="B396" s="29">
        <f>IF(391&lt;='계산기'!$C$7,391,"")</f>
      </c>
      <c r="C396" s="30">
        <f>IF(B396="","",G395)</f>
      </c>
      <c r="D396" s="30">
        <f>IF(B396="","",C396*'계산기'!$C$12)</f>
      </c>
      <c r="E396" s="30">
        <f>IF(B396="","",IF(B396='계산기'!$C$7,C396,IF('계산기'!$C$8="원리금균등",IF('계산기'!$C$12=0,'계산기'!$C$5/'계산기'!$C$7,PMT('계산기'!$C$12,'계산기'!$C$7,-'계산기'!$C$5))-D396,IF('계산기'!$C$8="원금균등",'계산기'!$C$5/'계산기'!$C$7,0))))</f>
      </c>
      <c r="F396" s="30">
        <f>IF(B396="","",D396+E396)</f>
      </c>
      <c r="G396" s="30">
        <f>IF(B396="","",C396-E396)</f>
      </c>
    </row>
    <row r="397" spans="2:7" x14ac:dyDescent="0.25">
      <c r="B397" s="29">
        <f>IF(392&lt;='계산기'!$C$7,392,"")</f>
      </c>
      <c r="C397" s="30">
        <f>IF(B397="","",G396)</f>
      </c>
      <c r="D397" s="30">
        <f>IF(B397="","",C397*'계산기'!$C$12)</f>
      </c>
      <c r="E397" s="30">
        <f>IF(B397="","",IF(B397='계산기'!$C$7,C397,IF('계산기'!$C$8="원리금균등",IF('계산기'!$C$12=0,'계산기'!$C$5/'계산기'!$C$7,PMT('계산기'!$C$12,'계산기'!$C$7,-'계산기'!$C$5))-D397,IF('계산기'!$C$8="원금균등",'계산기'!$C$5/'계산기'!$C$7,0))))</f>
      </c>
      <c r="F397" s="30">
        <f>IF(B397="","",D397+E397)</f>
      </c>
      <c r="G397" s="30">
        <f>IF(B397="","",C397-E397)</f>
      </c>
    </row>
    <row r="398" spans="2:7" x14ac:dyDescent="0.25">
      <c r="B398" s="29">
        <f>IF(393&lt;='계산기'!$C$7,393,"")</f>
      </c>
      <c r="C398" s="30">
        <f>IF(B398="","",G397)</f>
      </c>
      <c r="D398" s="30">
        <f>IF(B398="","",C398*'계산기'!$C$12)</f>
      </c>
      <c r="E398" s="30">
        <f>IF(B398="","",IF(B398='계산기'!$C$7,C398,IF('계산기'!$C$8="원리금균등",IF('계산기'!$C$12=0,'계산기'!$C$5/'계산기'!$C$7,PMT('계산기'!$C$12,'계산기'!$C$7,-'계산기'!$C$5))-D398,IF('계산기'!$C$8="원금균등",'계산기'!$C$5/'계산기'!$C$7,0))))</f>
      </c>
      <c r="F398" s="30">
        <f>IF(B398="","",D398+E398)</f>
      </c>
      <c r="G398" s="30">
        <f>IF(B398="","",C398-E398)</f>
      </c>
    </row>
    <row r="399" spans="2:7" x14ac:dyDescent="0.25">
      <c r="B399" s="29">
        <f>IF(394&lt;='계산기'!$C$7,394,"")</f>
      </c>
      <c r="C399" s="30">
        <f>IF(B399="","",G398)</f>
      </c>
      <c r="D399" s="30">
        <f>IF(B399="","",C399*'계산기'!$C$12)</f>
      </c>
      <c r="E399" s="30">
        <f>IF(B399="","",IF(B399='계산기'!$C$7,C399,IF('계산기'!$C$8="원리금균등",IF('계산기'!$C$12=0,'계산기'!$C$5/'계산기'!$C$7,PMT('계산기'!$C$12,'계산기'!$C$7,-'계산기'!$C$5))-D399,IF('계산기'!$C$8="원금균등",'계산기'!$C$5/'계산기'!$C$7,0))))</f>
      </c>
      <c r="F399" s="30">
        <f>IF(B399="","",D399+E399)</f>
      </c>
      <c r="G399" s="30">
        <f>IF(B399="","",C399-E399)</f>
      </c>
    </row>
    <row r="400" spans="2:7" x14ac:dyDescent="0.25">
      <c r="B400" s="29">
        <f>IF(395&lt;='계산기'!$C$7,395,"")</f>
      </c>
      <c r="C400" s="30">
        <f>IF(B400="","",G399)</f>
      </c>
      <c r="D400" s="30">
        <f>IF(B400="","",C400*'계산기'!$C$12)</f>
      </c>
      <c r="E400" s="30">
        <f>IF(B400="","",IF(B400='계산기'!$C$7,C400,IF('계산기'!$C$8="원리금균등",IF('계산기'!$C$12=0,'계산기'!$C$5/'계산기'!$C$7,PMT('계산기'!$C$12,'계산기'!$C$7,-'계산기'!$C$5))-D400,IF('계산기'!$C$8="원금균등",'계산기'!$C$5/'계산기'!$C$7,0))))</f>
      </c>
      <c r="F400" s="30">
        <f>IF(B400="","",D400+E400)</f>
      </c>
      <c r="G400" s="30">
        <f>IF(B400="","",C400-E400)</f>
      </c>
    </row>
    <row r="401" spans="2:7" x14ac:dyDescent="0.25">
      <c r="B401" s="29">
        <f>IF(396&lt;='계산기'!$C$7,396,"")</f>
      </c>
      <c r="C401" s="30">
        <f>IF(B401="","",G400)</f>
      </c>
      <c r="D401" s="30">
        <f>IF(B401="","",C401*'계산기'!$C$12)</f>
      </c>
      <c r="E401" s="30">
        <f>IF(B401="","",IF(B401='계산기'!$C$7,C401,IF('계산기'!$C$8="원리금균등",IF('계산기'!$C$12=0,'계산기'!$C$5/'계산기'!$C$7,PMT('계산기'!$C$12,'계산기'!$C$7,-'계산기'!$C$5))-D401,IF('계산기'!$C$8="원금균등",'계산기'!$C$5/'계산기'!$C$7,0))))</f>
      </c>
      <c r="F401" s="30">
        <f>IF(B401="","",D401+E401)</f>
      </c>
      <c r="G401" s="30">
        <f>IF(B401="","",C401-E401)</f>
      </c>
    </row>
    <row r="402" spans="2:7" x14ac:dyDescent="0.25">
      <c r="B402" s="29">
        <f>IF(397&lt;='계산기'!$C$7,397,"")</f>
      </c>
      <c r="C402" s="30">
        <f>IF(B402="","",G401)</f>
      </c>
      <c r="D402" s="30">
        <f>IF(B402="","",C402*'계산기'!$C$12)</f>
      </c>
      <c r="E402" s="30">
        <f>IF(B402="","",IF(B402='계산기'!$C$7,C402,IF('계산기'!$C$8="원리금균등",IF('계산기'!$C$12=0,'계산기'!$C$5/'계산기'!$C$7,PMT('계산기'!$C$12,'계산기'!$C$7,-'계산기'!$C$5))-D402,IF('계산기'!$C$8="원금균등",'계산기'!$C$5/'계산기'!$C$7,0))))</f>
      </c>
      <c r="F402" s="30">
        <f>IF(B402="","",D402+E402)</f>
      </c>
      <c r="G402" s="30">
        <f>IF(B402="","",C402-E402)</f>
      </c>
    </row>
    <row r="403" spans="2:7" x14ac:dyDescent="0.25">
      <c r="B403" s="29">
        <f>IF(398&lt;='계산기'!$C$7,398,"")</f>
      </c>
      <c r="C403" s="30">
        <f>IF(B403="","",G402)</f>
      </c>
      <c r="D403" s="30">
        <f>IF(B403="","",C403*'계산기'!$C$12)</f>
      </c>
      <c r="E403" s="30">
        <f>IF(B403="","",IF(B403='계산기'!$C$7,C403,IF('계산기'!$C$8="원리금균등",IF('계산기'!$C$12=0,'계산기'!$C$5/'계산기'!$C$7,PMT('계산기'!$C$12,'계산기'!$C$7,-'계산기'!$C$5))-D403,IF('계산기'!$C$8="원금균등",'계산기'!$C$5/'계산기'!$C$7,0))))</f>
      </c>
      <c r="F403" s="30">
        <f>IF(B403="","",D403+E403)</f>
      </c>
      <c r="G403" s="30">
        <f>IF(B403="","",C403-E403)</f>
      </c>
    </row>
    <row r="404" spans="2:7" x14ac:dyDescent="0.25">
      <c r="B404" s="29">
        <f>IF(399&lt;='계산기'!$C$7,399,"")</f>
      </c>
      <c r="C404" s="30">
        <f>IF(B404="","",G403)</f>
      </c>
      <c r="D404" s="30">
        <f>IF(B404="","",C404*'계산기'!$C$12)</f>
      </c>
      <c r="E404" s="30">
        <f>IF(B404="","",IF(B404='계산기'!$C$7,C404,IF('계산기'!$C$8="원리금균등",IF('계산기'!$C$12=0,'계산기'!$C$5/'계산기'!$C$7,PMT('계산기'!$C$12,'계산기'!$C$7,-'계산기'!$C$5))-D404,IF('계산기'!$C$8="원금균등",'계산기'!$C$5/'계산기'!$C$7,0))))</f>
      </c>
      <c r="F404" s="30">
        <f>IF(B404="","",D404+E404)</f>
      </c>
      <c r="G404" s="30">
        <f>IF(B404="","",C404-E404)</f>
      </c>
    </row>
    <row r="405" spans="2:7" x14ac:dyDescent="0.25">
      <c r="B405" s="29">
        <f>IF(400&lt;='계산기'!$C$7,400,"")</f>
      </c>
      <c r="C405" s="30">
        <f>IF(B405="","",G404)</f>
      </c>
      <c r="D405" s="30">
        <f>IF(B405="","",C405*'계산기'!$C$12)</f>
      </c>
      <c r="E405" s="30">
        <f>IF(B405="","",IF(B405='계산기'!$C$7,C405,IF('계산기'!$C$8="원리금균등",IF('계산기'!$C$12=0,'계산기'!$C$5/'계산기'!$C$7,PMT('계산기'!$C$12,'계산기'!$C$7,-'계산기'!$C$5))-D405,IF('계산기'!$C$8="원금균등",'계산기'!$C$5/'계산기'!$C$7,0))))</f>
      </c>
      <c r="F405" s="30">
        <f>IF(B405="","",D405+E405)</f>
      </c>
      <c r="G405" s="30">
        <f>IF(B405="","",C405-E405)</f>
      </c>
    </row>
    <row r="406" spans="2:7" x14ac:dyDescent="0.25">
      <c r="B406" s="29">
        <f>IF(401&lt;='계산기'!$C$7,401,"")</f>
      </c>
      <c r="C406" s="30">
        <f>IF(B406="","",G405)</f>
      </c>
      <c r="D406" s="30">
        <f>IF(B406="","",C406*'계산기'!$C$12)</f>
      </c>
      <c r="E406" s="30">
        <f>IF(B406="","",IF(B406='계산기'!$C$7,C406,IF('계산기'!$C$8="원리금균등",IF('계산기'!$C$12=0,'계산기'!$C$5/'계산기'!$C$7,PMT('계산기'!$C$12,'계산기'!$C$7,-'계산기'!$C$5))-D406,IF('계산기'!$C$8="원금균등",'계산기'!$C$5/'계산기'!$C$7,0))))</f>
      </c>
      <c r="F406" s="30">
        <f>IF(B406="","",D406+E406)</f>
      </c>
      <c r="G406" s="30">
        <f>IF(B406="","",C406-E406)</f>
      </c>
    </row>
    <row r="407" spans="2:7" x14ac:dyDescent="0.25">
      <c r="B407" s="29">
        <f>IF(402&lt;='계산기'!$C$7,402,"")</f>
      </c>
      <c r="C407" s="30">
        <f>IF(B407="","",G406)</f>
      </c>
      <c r="D407" s="30">
        <f>IF(B407="","",C407*'계산기'!$C$12)</f>
      </c>
      <c r="E407" s="30">
        <f>IF(B407="","",IF(B407='계산기'!$C$7,C407,IF('계산기'!$C$8="원리금균등",IF('계산기'!$C$12=0,'계산기'!$C$5/'계산기'!$C$7,PMT('계산기'!$C$12,'계산기'!$C$7,-'계산기'!$C$5))-D407,IF('계산기'!$C$8="원금균등",'계산기'!$C$5/'계산기'!$C$7,0))))</f>
      </c>
      <c r="F407" s="30">
        <f>IF(B407="","",D407+E407)</f>
      </c>
      <c r="G407" s="30">
        <f>IF(B407="","",C407-E407)</f>
      </c>
    </row>
    <row r="408" spans="2:7" x14ac:dyDescent="0.25">
      <c r="B408" s="29">
        <f>IF(403&lt;='계산기'!$C$7,403,"")</f>
      </c>
      <c r="C408" s="30">
        <f>IF(B408="","",G407)</f>
      </c>
      <c r="D408" s="30">
        <f>IF(B408="","",C408*'계산기'!$C$12)</f>
      </c>
      <c r="E408" s="30">
        <f>IF(B408="","",IF(B408='계산기'!$C$7,C408,IF('계산기'!$C$8="원리금균등",IF('계산기'!$C$12=0,'계산기'!$C$5/'계산기'!$C$7,PMT('계산기'!$C$12,'계산기'!$C$7,-'계산기'!$C$5))-D408,IF('계산기'!$C$8="원금균등",'계산기'!$C$5/'계산기'!$C$7,0))))</f>
      </c>
      <c r="F408" s="30">
        <f>IF(B408="","",D408+E408)</f>
      </c>
      <c r="G408" s="30">
        <f>IF(B408="","",C408-E408)</f>
      </c>
    </row>
    <row r="409" spans="2:7" x14ac:dyDescent="0.25">
      <c r="B409" s="29">
        <f>IF(404&lt;='계산기'!$C$7,404,"")</f>
      </c>
      <c r="C409" s="30">
        <f>IF(B409="","",G408)</f>
      </c>
      <c r="D409" s="30">
        <f>IF(B409="","",C409*'계산기'!$C$12)</f>
      </c>
      <c r="E409" s="30">
        <f>IF(B409="","",IF(B409='계산기'!$C$7,C409,IF('계산기'!$C$8="원리금균등",IF('계산기'!$C$12=0,'계산기'!$C$5/'계산기'!$C$7,PMT('계산기'!$C$12,'계산기'!$C$7,-'계산기'!$C$5))-D409,IF('계산기'!$C$8="원금균등",'계산기'!$C$5/'계산기'!$C$7,0))))</f>
      </c>
      <c r="F409" s="30">
        <f>IF(B409="","",D409+E409)</f>
      </c>
      <c r="G409" s="30">
        <f>IF(B409="","",C409-E409)</f>
      </c>
    </row>
    <row r="410" spans="2:7" x14ac:dyDescent="0.25">
      <c r="B410" s="29">
        <f>IF(405&lt;='계산기'!$C$7,405,"")</f>
      </c>
      <c r="C410" s="30">
        <f>IF(B410="","",G409)</f>
      </c>
      <c r="D410" s="30">
        <f>IF(B410="","",C410*'계산기'!$C$12)</f>
      </c>
      <c r="E410" s="30">
        <f>IF(B410="","",IF(B410='계산기'!$C$7,C410,IF('계산기'!$C$8="원리금균등",IF('계산기'!$C$12=0,'계산기'!$C$5/'계산기'!$C$7,PMT('계산기'!$C$12,'계산기'!$C$7,-'계산기'!$C$5))-D410,IF('계산기'!$C$8="원금균등",'계산기'!$C$5/'계산기'!$C$7,0))))</f>
      </c>
      <c r="F410" s="30">
        <f>IF(B410="","",D410+E410)</f>
      </c>
      <c r="G410" s="30">
        <f>IF(B410="","",C410-E410)</f>
      </c>
    </row>
    <row r="411" spans="2:7" x14ac:dyDescent="0.25">
      <c r="B411" s="29">
        <f>IF(406&lt;='계산기'!$C$7,406,"")</f>
      </c>
      <c r="C411" s="30">
        <f>IF(B411="","",G410)</f>
      </c>
      <c r="D411" s="30">
        <f>IF(B411="","",C411*'계산기'!$C$12)</f>
      </c>
      <c r="E411" s="30">
        <f>IF(B411="","",IF(B411='계산기'!$C$7,C411,IF('계산기'!$C$8="원리금균등",IF('계산기'!$C$12=0,'계산기'!$C$5/'계산기'!$C$7,PMT('계산기'!$C$12,'계산기'!$C$7,-'계산기'!$C$5))-D411,IF('계산기'!$C$8="원금균등",'계산기'!$C$5/'계산기'!$C$7,0))))</f>
      </c>
      <c r="F411" s="30">
        <f>IF(B411="","",D411+E411)</f>
      </c>
      <c r="G411" s="30">
        <f>IF(B411="","",C411-E411)</f>
      </c>
    </row>
    <row r="412" spans="2:7" x14ac:dyDescent="0.25">
      <c r="B412" s="29">
        <f>IF(407&lt;='계산기'!$C$7,407,"")</f>
      </c>
      <c r="C412" s="30">
        <f>IF(B412="","",G411)</f>
      </c>
      <c r="D412" s="30">
        <f>IF(B412="","",C412*'계산기'!$C$12)</f>
      </c>
      <c r="E412" s="30">
        <f>IF(B412="","",IF(B412='계산기'!$C$7,C412,IF('계산기'!$C$8="원리금균등",IF('계산기'!$C$12=0,'계산기'!$C$5/'계산기'!$C$7,PMT('계산기'!$C$12,'계산기'!$C$7,-'계산기'!$C$5))-D412,IF('계산기'!$C$8="원금균등",'계산기'!$C$5/'계산기'!$C$7,0))))</f>
      </c>
      <c r="F412" s="30">
        <f>IF(B412="","",D412+E412)</f>
      </c>
      <c r="G412" s="30">
        <f>IF(B412="","",C412-E412)</f>
      </c>
    </row>
    <row r="413" spans="2:7" x14ac:dyDescent="0.25">
      <c r="B413" s="29">
        <f>IF(408&lt;='계산기'!$C$7,408,"")</f>
      </c>
      <c r="C413" s="30">
        <f>IF(B413="","",G412)</f>
      </c>
      <c r="D413" s="30">
        <f>IF(B413="","",C413*'계산기'!$C$12)</f>
      </c>
      <c r="E413" s="30">
        <f>IF(B413="","",IF(B413='계산기'!$C$7,C413,IF('계산기'!$C$8="원리금균등",IF('계산기'!$C$12=0,'계산기'!$C$5/'계산기'!$C$7,PMT('계산기'!$C$12,'계산기'!$C$7,-'계산기'!$C$5))-D413,IF('계산기'!$C$8="원금균등",'계산기'!$C$5/'계산기'!$C$7,0))))</f>
      </c>
      <c r="F413" s="30">
        <f>IF(B413="","",D413+E413)</f>
      </c>
      <c r="G413" s="30">
        <f>IF(B413="","",C413-E413)</f>
      </c>
    </row>
    <row r="414" spans="2:7" x14ac:dyDescent="0.25">
      <c r="B414" s="29">
        <f>IF(409&lt;='계산기'!$C$7,409,"")</f>
      </c>
      <c r="C414" s="30">
        <f>IF(B414="","",G413)</f>
      </c>
      <c r="D414" s="30">
        <f>IF(B414="","",C414*'계산기'!$C$12)</f>
      </c>
      <c r="E414" s="30">
        <f>IF(B414="","",IF(B414='계산기'!$C$7,C414,IF('계산기'!$C$8="원리금균등",IF('계산기'!$C$12=0,'계산기'!$C$5/'계산기'!$C$7,PMT('계산기'!$C$12,'계산기'!$C$7,-'계산기'!$C$5))-D414,IF('계산기'!$C$8="원금균등",'계산기'!$C$5/'계산기'!$C$7,0))))</f>
      </c>
      <c r="F414" s="30">
        <f>IF(B414="","",D414+E414)</f>
      </c>
      <c r="G414" s="30">
        <f>IF(B414="","",C414-E414)</f>
      </c>
    </row>
    <row r="415" spans="2:7" x14ac:dyDescent="0.25">
      <c r="B415" s="29">
        <f>IF(410&lt;='계산기'!$C$7,410,"")</f>
      </c>
      <c r="C415" s="30">
        <f>IF(B415="","",G414)</f>
      </c>
      <c r="D415" s="30">
        <f>IF(B415="","",C415*'계산기'!$C$12)</f>
      </c>
      <c r="E415" s="30">
        <f>IF(B415="","",IF(B415='계산기'!$C$7,C415,IF('계산기'!$C$8="원리금균등",IF('계산기'!$C$12=0,'계산기'!$C$5/'계산기'!$C$7,PMT('계산기'!$C$12,'계산기'!$C$7,-'계산기'!$C$5))-D415,IF('계산기'!$C$8="원금균등",'계산기'!$C$5/'계산기'!$C$7,0))))</f>
      </c>
      <c r="F415" s="30">
        <f>IF(B415="","",D415+E415)</f>
      </c>
      <c r="G415" s="30">
        <f>IF(B415="","",C415-E415)</f>
      </c>
    </row>
    <row r="416" spans="2:7" x14ac:dyDescent="0.25">
      <c r="B416" s="29">
        <f>IF(411&lt;='계산기'!$C$7,411,"")</f>
      </c>
      <c r="C416" s="30">
        <f>IF(B416="","",G415)</f>
      </c>
      <c r="D416" s="30">
        <f>IF(B416="","",C416*'계산기'!$C$12)</f>
      </c>
      <c r="E416" s="30">
        <f>IF(B416="","",IF(B416='계산기'!$C$7,C416,IF('계산기'!$C$8="원리금균등",IF('계산기'!$C$12=0,'계산기'!$C$5/'계산기'!$C$7,PMT('계산기'!$C$12,'계산기'!$C$7,-'계산기'!$C$5))-D416,IF('계산기'!$C$8="원금균등",'계산기'!$C$5/'계산기'!$C$7,0))))</f>
      </c>
      <c r="F416" s="30">
        <f>IF(B416="","",D416+E416)</f>
      </c>
      <c r="G416" s="30">
        <f>IF(B416="","",C416-E416)</f>
      </c>
    </row>
    <row r="417" spans="2:7" x14ac:dyDescent="0.25">
      <c r="B417" s="29">
        <f>IF(412&lt;='계산기'!$C$7,412,"")</f>
      </c>
      <c r="C417" s="30">
        <f>IF(B417="","",G416)</f>
      </c>
      <c r="D417" s="30">
        <f>IF(B417="","",C417*'계산기'!$C$12)</f>
      </c>
      <c r="E417" s="30">
        <f>IF(B417="","",IF(B417='계산기'!$C$7,C417,IF('계산기'!$C$8="원리금균등",IF('계산기'!$C$12=0,'계산기'!$C$5/'계산기'!$C$7,PMT('계산기'!$C$12,'계산기'!$C$7,-'계산기'!$C$5))-D417,IF('계산기'!$C$8="원금균등",'계산기'!$C$5/'계산기'!$C$7,0))))</f>
      </c>
      <c r="F417" s="30">
        <f>IF(B417="","",D417+E417)</f>
      </c>
      <c r="G417" s="30">
        <f>IF(B417="","",C417-E417)</f>
      </c>
    </row>
    <row r="418" spans="2:7" x14ac:dyDescent="0.25">
      <c r="B418" s="29">
        <f>IF(413&lt;='계산기'!$C$7,413,"")</f>
      </c>
      <c r="C418" s="30">
        <f>IF(B418="","",G417)</f>
      </c>
      <c r="D418" s="30">
        <f>IF(B418="","",C418*'계산기'!$C$12)</f>
      </c>
      <c r="E418" s="30">
        <f>IF(B418="","",IF(B418='계산기'!$C$7,C418,IF('계산기'!$C$8="원리금균등",IF('계산기'!$C$12=0,'계산기'!$C$5/'계산기'!$C$7,PMT('계산기'!$C$12,'계산기'!$C$7,-'계산기'!$C$5))-D418,IF('계산기'!$C$8="원금균등",'계산기'!$C$5/'계산기'!$C$7,0))))</f>
      </c>
      <c r="F418" s="30">
        <f>IF(B418="","",D418+E418)</f>
      </c>
      <c r="G418" s="30">
        <f>IF(B418="","",C418-E418)</f>
      </c>
    </row>
    <row r="419" spans="2:7" x14ac:dyDescent="0.25">
      <c r="B419" s="29">
        <f>IF(414&lt;='계산기'!$C$7,414,"")</f>
      </c>
      <c r="C419" s="30">
        <f>IF(B419="","",G418)</f>
      </c>
      <c r="D419" s="30">
        <f>IF(B419="","",C419*'계산기'!$C$12)</f>
      </c>
      <c r="E419" s="30">
        <f>IF(B419="","",IF(B419='계산기'!$C$7,C419,IF('계산기'!$C$8="원리금균등",IF('계산기'!$C$12=0,'계산기'!$C$5/'계산기'!$C$7,PMT('계산기'!$C$12,'계산기'!$C$7,-'계산기'!$C$5))-D419,IF('계산기'!$C$8="원금균등",'계산기'!$C$5/'계산기'!$C$7,0))))</f>
      </c>
      <c r="F419" s="30">
        <f>IF(B419="","",D419+E419)</f>
      </c>
      <c r="G419" s="30">
        <f>IF(B419="","",C419-E419)</f>
      </c>
    </row>
    <row r="420" spans="2:7" x14ac:dyDescent="0.25">
      <c r="B420" s="29">
        <f>IF(415&lt;='계산기'!$C$7,415,"")</f>
      </c>
      <c r="C420" s="30">
        <f>IF(B420="","",G419)</f>
      </c>
      <c r="D420" s="30">
        <f>IF(B420="","",C420*'계산기'!$C$12)</f>
      </c>
      <c r="E420" s="30">
        <f>IF(B420="","",IF(B420='계산기'!$C$7,C420,IF('계산기'!$C$8="원리금균등",IF('계산기'!$C$12=0,'계산기'!$C$5/'계산기'!$C$7,PMT('계산기'!$C$12,'계산기'!$C$7,-'계산기'!$C$5))-D420,IF('계산기'!$C$8="원금균등",'계산기'!$C$5/'계산기'!$C$7,0))))</f>
      </c>
      <c r="F420" s="30">
        <f>IF(B420="","",D420+E420)</f>
      </c>
      <c r="G420" s="30">
        <f>IF(B420="","",C420-E420)</f>
      </c>
    </row>
    <row r="421" spans="2:7" x14ac:dyDescent="0.25">
      <c r="B421" s="29">
        <f>IF(416&lt;='계산기'!$C$7,416,"")</f>
      </c>
      <c r="C421" s="30">
        <f>IF(B421="","",G420)</f>
      </c>
      <c r="D421" s="30">
        <f>IF(B421="","",C421*'계산기'!$C$12)</f>
      </c>
      <c r="E421" s="30">
        <f>IF(B421="","",IF(B421='계산기'!$C$7,C421,IF('계산기'!$C$8="원리금균등",IF('계산기'!$C$12=0,'계산기'!$C$5/'계산기'!$C$7,PMT('계산기'!$C$12,'계산기'!$C$7,-'계산기'!$C$5))-D421,IF('계산기'!$C$8="원금균등",'계산기'!$C$5/'계산기'!$C$7,0))))</f>
      </c>
      <c r="F421" s="30">
        <f>IF(B421="","",D421+E421)</f>
      </c>
      <c r="G421" s="30">
        <f>IF(B421="","",C421-E421)</f>
      </c>
    </row>
    <row r="422" spans="2:7" x14ac:dyDescent="0.25">
      <c r="B422" s="29">
        <f>IF(417&lt;='계산기'!$C$7,417,"")</f>
      </c>
      <c r="C422" s="30">
        <f>IF(B422="","",G421)</f>
      </c>
      <c r="D422" s="30">
        <f>IF(B422="","",C422*'계산기'!$C$12)</f>
      </c>
      <c r="E422" s="30">
        <f>IF(B422="","",IF(B422='계산기'!$C$7,C422,IF('계산기'!$C$8="원리금균등",IF('계산기'!$C$12=0,'계산기'!$C$5/'계산기'!$C$7,PMT('계산기'!$C$12,'계산기'!$C$7,-'계산기'!$C$5))-D422,IF('계산기'!$C$8="원금균등",'계산기'!$C$5/'계산기'!$C$7,0))))</f>
      </c>
      <c r="F422" s="30">
        <f>IF(B422="","",D422+E422)</f>
      </c>
      <c r="G422" s="30">
        <f>IF(B422="","",C422-E422)</f>
      </c>
    </row>
    <row r="423" spans="2:7" x14ac:dyDescent="0.25">
      <c r="B423" s="29">
        <f>IF(418&lt;='계산기'!$C$7,418,"")</f>
      </c>
      <c r="C423" s="30">
        <f>IF(B423="","",G422)</f>
      </c>
      <c r="D423" s="30">
        <f>IF(B423="","",C423*'계산기'!$C$12)</f>
      </c>
      <c r="E423" s="30">
        <f>IF(B423="","",IF(B423='계산기'!$C$7,C423,IF('계산기'!$C$8="원리금균등",IF('계산기'!$C$12=0,'계산기'!$C$5/'계산기'!$C$7,PMT('계산기'!$C$12,'계산기'!$C$7,-'계산기'!$C$5))-D423,IF('계산기'!$C$8="원금균등",'계산기'!$C$5/'계산기'!$C$7,0))))</f>
      </c>
      <c r="F423" s="30">
        <f>IF(B423="","",D423+E423)</f>
      </c>
      <c r="G423" s="30">
        <f>IF(B423="","",C423-E423)</f>
      </c>
    </row>
    <row r="424" spans="2:7" x14ac:dyDescent="0.25">
      <c r="B424" s="29">
        <f>IF(419&lt;='계산기'!$C$7,419,"")</f>
      </c>
      <c r="C424" s="30">
        <f>IF(B424="","",G423)</f>
      </c>
      <c r="D424" s="30">
        <f>IF(B424="","",C424*'계산기'!$C$12)</f>
      </c>
      <c r="E424" s="30">
        <f>IF(B424="","",IF(B424='계산기'!$C$7,C424,IF('계산기'!$C$8="원리금균등",IF('계산기'!$C$12=0,'계산기'!$C$5/'계산기'!$C$7,PMT('계산기'!$C$12,'계산기'!$C$7,-'계산기'!$C$5))-D424,IF('계산기'!$C$8="원금균등",'계산기'!$C$5/'계산기'!$C$7,0))))</f>
      </c>
      <c r="F424" s="30">
        <f>IF(B424="","",D424+E424)</f>
      </c>
      <c r="G424" s="30">
        <f>IF(B424="","",C424-E424)</f>
      </c>
    </row>
    <row r="425" spans="2:7" x14ac:dyDescent="0.25">
      <c r="B425" s="29">
        <f>IF(420&lt;='계산기'!$C$7,420,"")</f>
      </c>
      <c r="C425" s="30">
        <f>IF(B425="","",G424)</f>
      </c>
      <c r="D425" s="30">
        <f>IF(B425="","",C425*'계산기'!$C$12)</f>
      </c>
      <c r="E425" s="30">
        <f>IF(B425="","",IF(B425='계산기'!$C$7,C425,IF('계산기'!$C$8="원리금균등",IF('계산기'!$C$12=0,'계산기'!$C$5/'계산기'!$C$7,PMT('계산기'!$C$12,'계산기'!$C$7,-'계산기'!$C$5))-D425,IF('계산기'!$C$8="원금균등",'계산기'!$C$5/'계산기'!$C$7,0))))</f>
      </c>
      <c r="F425" s="30">
        <f>IF(B425="","",D425+E425)</f>
      </c>
      <c r="G425" s="30">
        <f>IF(B425="","",C425-E425)</f>
      </c>
    </row>
    <row r="426" spans="2:7" x14ac:dyDescent="0.25">
      <c r="B426" s="29">
        <f>IF(421&lt;='계산기'!$C$7,421,"")</f>
      </c>
      <c r="C426" s="30">
        <f>IF(B426="","",G425)</f>
      </c>
      <c r="D426" s="30">
        <f>IF(B426="","",C426*'계산기'!$C$12)</f>
      </c>
      <c r="E426" s="30">
        <f>IF(B426="","",IF(B426='계산기'!$C$7,C426,IF('계산기'!$C$8="원리금균등",IF('계산기'!$C$12=0,'계산기'!$C$5/'계산기'!$C$7,PMT('계산기'!$C$12,'계산기'!$C$7,-'계산기'!$C$5))-D426,IF('계산기'!$C$8="원금균등",'계산기'!$C$5/'계산기'!$C$7,0))))</f>
      </c>
      <c r="F426" s="30">
        <f>IF(B426="","",D426+E426)</f>
      </c>
      <c r="G426" s="30">
        <f>IF(B426="","",C426-E426)</f>
      </c>
    </row>
    <row r="427" spans="2:7" x14ac:dyDescent="0.25">
      <c r="B427" s="29">
        <f>IF(422&lt;='계산기'!$C$7,422,"")</f>
      </c>
      <c r="C427" s="30">
        <f>IF(B427="","",G426)</f>
      </c>
      <c r="D427" s="30">
        <f>IF(B427="","",C427*'계산기'!$C$12)</f>
      </c>
      <c r="E427" s="30">
        <f>IF(B427="","",IF(B427='계산기'!$C$7,C427,IF('계산기'!$C$8="원리금균등",IF('계산기'!$C$12=0,'계산기'!$C$5/'계산기'!$C$7,PMT('계산기'!$C$12,'계산기'!$C$7,-'계산기'!$C$5))-D427,IF('계산기'!$C$8="원금균등",'계산기'!$C$5/'계산기'!$C$7,0))))</f>
      </c>
      <c r="F427" s="30">
        <f>IF(B427="","",D427+E427)</f>
      </c>
      <c r="G427" s="30">
        <f>IF(B427="","",C427-E427)</f>
      </c>
    </row>
    <row r="428" spans="2:7" x14ac:dyDescent="0.25">
      <c r="B428" s="29">
        <f>IF(423&lt;='계산기'!$C$7,423,"")</f>
      </c>
      <c r="C428" s="30">
        <f>IF(B428="","",G427)</f>
      </c>
      <c r="D428" s="30">
        <f>IF(B428="","",C428*'계산기'!$C$12)</f>
      </c>
      <c r="E428" s="30">
        <f>IF(B428="","",IF(B428='계산기'!$C$7,C428,IF('계산기'!$C$8="원리금균등",IF('계산기'!$C$12=0,'계산기'!$C$5/'계산기'!$C$7,PMT('계산기'!$C$12,'계산기'!$C$7,-'계산기'!$C$5))-D428,IF('계산기'!$C$8="원금균등",'계산기'!$C$5/'계산기'!$C$7,0))))</f>
      </c>
      <c r="F428" s="30">
        <f>IF(B428="","",D428+E428)</f>
      </c>
      <c r="G428" s="30">
        <f>IF(B428="","",C428-E428)</f>
      </c>
    </row>
    <row r="429" spans="2:7" x14ac:dyDescent="0.25">
      <c r="B429" s="29">
        <f>IF(424&lt;='계산기'!$C$7,424,"")</f>
      </c>
      <c r="C429" s="30">
        <f>IF(B429="","",G428)</f>
      </c>
      <c r="D429" s="30">
        <f>IF(B429="","",C429*'계산기'!$C$12)</f>
      </c>
      <c r="E429" s="30">
        <f>IF(B429="","",IF(B429='계산기'!$C$7,C429,IF('계산기'!$C$8="원리금균등",IF('계산기'!$C$12=0,'계산기'!$C$5/'계산기'!$C$7,PMT('계산기'!$C$12,'계산기'!$C$7,-'계산기'!$C$5))-D429,IF('계산기'!$C$8="원금균등",'계산기'!$C$5/'계산기'!$C$7,0))))</f>
      </c>
      <c r="F429" s="30">
        <f>IF(B429="","",D429+E429)</f>
      </c>
      <c r="G429" s="30">
        <f>IF(B429="","",C429-E429)</f>
      </c>
    </row>
    <row r="430" spans="2:7" x14ac:dyDescent="0.25">
      <c r="B430" s="29">
        <f>IF(425&lt;='계산기'!$C$7,425,"")</f>
      </c>
      <c r="C430" s="30">
        <f>IF(B430="","",G429)</f>
      </c>
      <c r="D430" s="30">
        <f>IF(B430="","",C430*'계산기'!$C$12)</f>
      </c>
      <c r="E430" s="30">
        <f>IF(B430="","",IF(B430='계산기'!$C$7,C430,IF('계산기'!$C$8="원리금균등",IF('계산기'!$C$12=0,'계산기'!$C$5/'계산기'!$C$7,PMT('계산기'!$C$12,'계산기'!$C$7,-'계산기'!$C$5))-D430,IF('계산기'!$C$8="원금균등",'계산기'!$C$5/'계산기'!$C$7,0))))</f>
      </c>
      <c r="F430" s="30">
        <f>IF(B430="","",D430+E430)</f>
      </c>
      <c r="G430" s="30">
        <f>IF(B430="","",C430-E430)</f>
      </c>
    </row>
    <row r="431" spans="2:7" x14ac:dyDescent="0.25">
      <c r="B431" s="29">
        <f>IF(426&lt;='계산기'!$C$7,426,"")</f>
      </c>
      <c r="C431" s="30">
        <f>IF(B431="","",G430)</f>
      </c>
      <c r="D431" s="30">
        <f>IF(B431="","",C431*'계산기'!$C$12)</f>
      </c>
      <c r="E431" s="30">
        <f>IF(B431="","",IF(B431='계산기'!$C$7,C431,IF('계산기'!$C$8="원리금균등",IF('계산기'!$C$12=0,'계산기'!$C$5/'계산기'!$C$7,PMT('계산기'!$C$12,'계산기'!$C$7,-'계산기'!$C$5))-D431,IF('계산기'!$C$8="원금균등",'계산기'!$C$5/'계산기'!$C$7,0))))</f>
      </c>
      <c r="F431" s="30">
        <f>IF(B431="","",D431+E431)</f>
      </c>
      <c r="G431" s="30">
        <f>IF(B431="","",C431-E431)</f>
      </c>
    </row>
    <row r="432" spans="2:7" x14ac:dyDescent="0.25">
      <c r="B432" s="29">
        <f>IF(427&lt;='계산기'!$C$7,427,"")</f>
      </c>
      <c r="C432" s="30">
        <f>IF(B432="","",G431)</f>
      </c>
      <c r="D432" s="30">
        <f>IF(B432="","",C432*'계산기'!$C$12)</f>
      </c>
      <c r="E432" s="30">
        <f>IF(B432="","",IF(B432='계산기'!$C$7,C432,IF('계산기'!$C$8="원리금균등",IF('계산기'!$C$12=0,'계산기'!$C$5/'계산기'!$C$7,PMT('계산기'!$C$12,'계산기'!$C$7,-'계산기'!$C$5))-D432,IF('계산기'!$C$8="원금균등",'계산기'!$C$5/'계산기'!$C$7,0))))</f>
      </c>
      <c r="F432" s="30">
        <f>IF(B432="","",D432+E432)</f>
      </c>
      <c r="G432" s="30">
        <f>IF(B432="","",C432-E432)</f>
      </c>
    </row>
    <row r="433" spans="2:7" x14ac:dyDescent="0.25">
      <c r="B433" s="29">
        <f>IF(428&lt;='계산기'!$C$7,428,"")</f>
      </c>
      <c r="C433" s="30">
        <f>IF(B433="","",G432)</f>
      </c>
      <c r="D433" s="30">
        <f>IF(B433="","",C433*'계산기'!$C$12)</f>
      </c>
      <c r="E433" s="30">
        <f>IF(B433="","",IF(B433='계산기'!$C$7,C433,IF('계산기'!$C$8="원리금균등",IF('계산기'!$C$12=0,'계산기'!$C$5/'계산기'!$C$7,PMT('계산기'!$C$12,'계산기'!$C$7,-'계산기'!$C$5))-D433,IF('계산기'!$C$8="원금균등",'계산기'!$C$5/'계산기'!$C$7,0))))</f>
      </c>
      <c r="F433" s="30">
        <f>IF(B433="","",D433+E433)</f>
      </c>
      <c r="G433" s="30">
        <f>IF(B433="","",C433-E433)</f>
      </c>
    </row>
    <row r="434" spans="2:7" x14ac:dyDescent="0.25">
      <c r="B434" s="29">
        <f>IF(429&lt;='계산기'!$C$7,429,"")</f>
      </c>
      <c r="C434" s="30">
        <f>IF(B434="","",G433)</f>
      </c>
      <c r="D434" s="30">
        <f>IF(B434="","",C434*'계산기'!$C$12)</f>
      </c>
      <c r="E434" s="30">
        <f>IF(B434="","",IF(B434='계산기'!$C$7,C434,IF('계산기'!$C$8="원리금균등",IF('계산기'!$C$12=0,'계산기'!$C$5/'계산기'!$C$7,PMT('계산기'!$C$12,'계산기'!$C$7,-'계산기'!$C$5))-D434,IF('계산기'!$C$8="원금균등",'계산기'!$C$5/'계산기'!$C$7,0))))</f>
      </c>
      <c r="F434" s="30">
        <f>IF(B434="","",D434+E434)</f>
      </c>
      <c r="G434" s="30">
        <f>IF(B434="","",C434-E434)</f>
      </c>
    </row>
    <row r="435" spans="2:7" x14ac:dyDescent="0.25">
      <c r="B435" s="29">
        <f>IF(430&lt;='계산기'!$C$7,430,"")</f>
      </c>
      <c r="C435" s="30">
        <f>IF(B435="","",G434)</f>
      </c>
      <c r="D435" s="30">
        <f>IF(B435="","",C435*'계산기'!$C$12)</f>
      </c>
      <c r="E435" s="30">
        <f>IF(B435="","",IF(B435='계산기'!$C$7,C435,IF('계산기'!$C$8="원리금균등",IF('계산기'!$C$12=0,'계산기'!$C$5/'계산기'!$C$7,PMT('계산기'!$C$12,'계산기'!$C$7,-'계산기'!$C$5))-D435,IF('계산기'!$C$8="원금균등",'계산기'!$C$5/'계산기'!$C$7,0))))</f>
      </c>
      <c r="F435" s="30">
        <f>IF(B435="","",D435+E435)</f>
      </c>
      <c r="G435" s="30">
        <f>IF(B435="","",C435-E435)</f>
      </c>
    </row>
    <row r="436" spans="2:7" x14ac:dyDescent="0.25">
      <c r="B436" s="29">
        <f>IF(431&lt;='계산기'!$C$7,431,"")</f>
      </c>
      <c r="C436" s="30">
        <f>IF(B436="","",G435)</f>
      </c>
      <c r="D436" s="30">
        <f>IF(B436="","",C436*'계산기'!$C$12)</f>
      </c>
      <c r="E436" s="30">
        <f>IF(B436="","",IF(B436='계산기'!$C$7,C436,IF('계산기'!$C$8="원리금균등",IF('계산기'!$C$12=0,'계산기'!$C$5/'계산기'!$C$7,PMT('계산기'!$C$12,'계산기'!$C$7,-'계산기'!$C$5))-D436,IF('계산기'!$C$8="원금균등",'계산기'!$C$5/'계산기'!$C$7,0))))</f>
      </c>
      <c r="F436" s="30">
        <f>IF(B436="","",D436+E436)</f>
      </c>
      <c r="G436" s="30">
        <f>IF(B436="","",C436-E436)</f>
      </c>
    </row>
    <row r="437" spans="2:7" x14ac:dyDescent="0.25">
      <c r="B437" s="29">
        <f>IF(432&lt;='계산기'!$C$7,432,"")</f>
      </c>
      <c r="C437" s="30">
        <f>IF(B437="","",G436)</f>
      </c>
      <c r="D437" s="30">
        <f>IF(B437="","",C437*'계산기'!$C$12)</f>
      </c>
      <c r="E437" s="30">
        <f>IF(B437="","",IF(B437='계산기'!$C$7,C437,IF('계산기'!$C$8="원리금균등",IF('계산기'!$C$12=0,'계산기'!$C$5/'계산기'!$C$7,PMT('계산기'!$C$12,'계산기'!$C$7,-'계산기'!$C$5))-D437,IF('계산기'!$C$8="원금균등",'계산기'!$C$5/'계산기'!$C$7,0))))</f>
      </c>
      <c r="F437" s="30">
        <f>IF(B437="","",D437+E437)</f>
      </c>
      <c r="G437" s="30">
        <f>IF(B437="","",C437-E437)</f>
      </c>
    </row>
    <row r="438" spans="2:7" x14ac:dyDescent="0.25">
      <c r="B438" s="29">
        <f>IF(433&lt;='계산기'!$C$7,433,"")</f>
      </c>
      <c r="C438" s="30">
        <f>IF(B438="","",G437)</f>
      </c>
      <c r="D438" s="30">
        <f>IF(B438="","",C438*'계산기'!$C$12)</f>
      </c>
      <c r="E438" s="30">
        <f>IF(B438="","",IF(B438='계산기'!$C$7,C438,IF('계산기'!$C$8="원리금균등",IF('계산기'!$C$12=0,'계산기'!$C$5/'계산기'!$C$7,PMT('계산기'!$C$12,'계산기'!$C$7,-'계산기'!$C$5))-D438,IF('계산기'!$C$8="원금균등",'계산기'!$C$5/'계산기'!$C$7,0))))</f>
      </c>
      <c r="F438" s="30">
        <f>IF(B438="","",D438+E438)</f>
      </c>
      <c r="G438" s="30">
        <f>IF(B438="","",C438-E438)</f>
      </c>
    </row>
    <row r="439" spans="2:7" x14ac:dyDescent="0.25">
      <c r="B439" s="29">
        <f>IF(434&lt;='계산기'!$C$7,434,"")</f>
      </c>
      <c r="C439" s="30">
        <f>IF(B439="","",G438)</f>
      </c>
      <c r="D439" s="30">
        <f>IF(B439="","",C439*'계산기'!$C$12)</f>
      </c>
      <c r="E439" s="30">
        <f>IF(B439="","",IF(B439='계산기'!$C$7,C439,IF('계산기'!$C$8="원리금균등",IF('계산기'!$C$12=0,'계산기'!$C$5/'계산기'!$C$7,PMT('계산기'!$C$12,'계산기'!$C$7,-'계산기'!$C$5))-D439,IF('계산기'!$C$8="원금균등",'계산기'!$C$5/'계산기'!$C$7,0))))</f>
      </c>
      <c r="F439" s="30">
        <f>IF(B439="","",D439+E439)</f>
      </c>
      <c r="G439" s="30">
        <f>IF(B439="","",C439-E439)</f>
      </c>
    </row>
    <row r="440" spans="2:7" x14ac:dyDescent="0.25">
      <c r="B440" s="29">
        <f>IF(435&lt;='계산기'!$C$7,435,"")</f>
      </c>
      <c r="C440" s="30">
        <f>IF(B440="","",G439)</f>
      </c>
      <c r="D440" s="30">
        <f>IF(B440="","",C440*'계산기'!$C$12)</f>
      </c>
      <c r="E440" s="30">
        <f>IF(B440="","",IF(B440='계산기'!$C$7,C440,IF('계산기'!$C$8="원리금균등",IF('계산기'!$C$12=0,'계산기'!$C$5/'계산기'!$C$7,PMT('계산기'!$C$12,'계산기'!$C$7,-'계산기'!$C$5))-D440,IF('계산기'!$C$8="원금균등",'계산기'!$C$5/'계산기'!$C$7,0))))</f>
      </c>
      <c r="F440" s="30">
        <f>IF(B440="","",D440+E440)</f>
      </c>
      <c r="G440" s="30">
        <f>IF(B440="","",C440-E440)</f>
      </c>
    </row>
    <row r="441" spans="2:7" x14ac:dyDescent="0.25">
      <c r="B441" s="29">
        <f>IF(436&lt;='계산기'!$C$7,436,"")</f>
      </c>
      <c r="C441" s="30">
        <f>IF(B441="","",G440)</f>
      </c>
      <c r="D441" s="30">
        <f>IF(B441="","",C441*'계산기'!$C$12)</f>
      </c>
      <c r="E441" s="30">
        <f>IF(B441="","",IF(B441='계산기'!$C$7,C441,IF('계산기'!$C$8="원리금균등",IF('계산기'!$C$12=0,'계산기'!$C$5/'계산기'!$C$7,PMT('계산기'!$C$12,'계산기'!$C$7,-'계산기'!$C$5))-D441,IF('계산기'!$C$8="원금균등",'계산기'!$C$5/'계산기'!$C$7,0))))</f>
      </c>
      <c r="F441" s="30">
        <f>IF(B441="","",D441+E441)</f>
      </c>
      <c r="G441" s="30">
        <f>IF(B441="","",C441-E441)</f>
      </c>
    </row>
    <row r="442" spans="2:7" x14ac:dyDescent="0.25">
      <c r="B442" s="29">
        <f>IF(437&lt;='계산기'!$C$7,437,"")</f>
      </c>
      <c r="C442" s="30">
        <f>IF(B442="","",G441)</f>
      </c>
      <c r="D442" s="30">
        <f>IF(B442="","",C442*'계산기'!$C$12)</f>
      </c>
      <c r="E442" s="30">
        <f>IF(B442="","",IF(B442='계산기'!$C$7,C442,IF('계산기'!$C$8="원리금균등",IF('계산기'!$C$12=0,'계산기'!$C$5/'계산기'!$C$7,PMT('계산기'!$C$12,'계산기'!$C$7,-'계산기'!$C$5))-D442,IF('계산기'!$C$8="원금균등",'계산기'!$C$5/'계산기'!$C$7,0))))</f>
      </c>
      <c r="F442" s="30">
        <f>IF(B442="","",D442+E442)</f>
      </c>
      <c r="G442" s="30">
        <f>IF(B442="","",C442-E442)</f>
      </c>
    </row>
    <row r="443" spans="2:7" x14ac:dyDescent="0.25">
      <c r="B443" s="29">
        <f>IF(438&lt;='계산기'!$C$7,438,"")</f>
      </c>
      <c r="C443" s="30">
        <f>IF(B443="","",G442)</f>
      </c>
      <c r="D443" s="30">
        <f>IF(B443="","",C443*'계산기'!$C$12)</f>
      </c>
      <c r="E443" s="30">
        <f>IF(B443="","",IF(B443='계산기'!$C$7,C443,IF('계산기'!$C$8="원리금균등",IF('계산기'!$C$12=0,'계산기'!$C$5/'계산기'!$C$7,PMT('계산기'!$C$12,'계산기'!$C$7,-'계산기'!$C$5))-D443,IF('계산기'!$C$8="원금균등",'계산기'!$C$5/'계산기'!$C$7,0))))</f>
      </c>
      <c r="F443" s="30">
        <f>IF(B443="","",D443+E443)</f>
      </c>
      <c r="G443" s="30">
        <f>IF(B443="","",C443-E443)</f>
      </c>
    </row>
    <row r="444" spans="2:7" x14ac:dyDescent="0.25">
      <c r="B444" s="29">
        <f>IF(439&lt;='계산기'!$C$7,439,"")</f>
      </c>
      <c r="C444" s="30">
        <f>IF(B444="","",G443)</f>
      </c>
      <c r="D444" s="30">
        <f>IF(B444="","",C444*'계산기'!$C$12)</f>
      </c>
      <c r="E444" s="30">
        <f>IF(B444="","",IF(B444='계산기'!$C$7,C444,IF('계산기'!$C$8="원리금균등",IF('계산기'!$C$12=0,'계산기'!$C$5/'계산기'!$C$7,PMT('계산기'!$C$12,'계산기'!$C$7,-'계산기'!$C$5))-D444,IF('계산기'!$C$8="원금균등",'계산기'!$C$5/'계산기'!$C$7,0))))</f>
      </c>
      <c r="F444" s="30">
        <f>IF(B444="","",D444+E444)</f>
      </c>
      <c r="G444" s="30">
        <f>IF(B444="","",C444-E444)</f>
      </c>
    </row>
    <row r="445" spans="2:7" x14ac:dyDescent="0.25">
      <c r="B445" s="29">
        <f>IF(440&lt;='계산기'!$C$7,440,"")</f>
      </c>
      <c r="C445" s="30">
        <f>IF(B445="","",G444)</f>
      </c>
      <c r="D445" s="30">
        <f>IF(B445="","",C445*'계산기'!$C$12)</f>
      </c>
      <c r="E445" s="30">
        <f>IF(B445="","",IF(B445='계산기'!$C$7,C445,IF('계산기'!$C$8="원리금균등",IF('계산기'!$C$12=0,'계산기'!$C$5/'계산기'!$C$7,PMT('계산기'!$C$12,'계산기'!$C$7,-'계산기'!$C$5))-D445,IF('계산기'!$C$8="원금균등",'계산기'!$C$5/'계산기'!$C$7,0))))</f>
      </c>
      <c r="F445" s="30">
        <f>IF(B445="","",D445+E445)</f>
      </c>
      <c r="G445" s="30">
        <f>IF(B445="","",C445-E445)</f>
      </c>
    </row>
    <row r="446" spans="2:7" x14ac:dyDescent="0.25">
      <c r="B446" s="29">
        <f>IF(441&lt;='계산기'!$C$7,441,"")</f>
      </c>
      <c r="C446" s="30">
        <f>IF(B446="","",G445)</f>
      </c>
      <c r="D446" s="30">
        <f>IF(B446="","",C446*'계산기'!$C$12)</f>
      </c>
      <c r="E446" s="30">
        <f>IF(B446="","",IF(B446='계산기'!$C$7,C446,IF('계산기'!$C$8="원리금균등",IF('계산기'!$C$12=0,'계산기'!$C$5/'계산기'!$C$7,PMT('계산기'!$C$12,'계산기'!$C$7,-'계산기'!$C$5))-D446,IF('계산기'!$C$8="원금균등",'계산기'!$C$5/'계산기'!$C$7,0))))</f>
      </c>
      <c r="F446" s="30">
        <f>IF(B446="","",D446+E446)</f>
      </c>
      <c r="G446" s="30">
        <f>IF(B446="","",C446-E446)</f>
      </c>
    </row>
    <row r="447" spans="2:7" x14ac:dyDescent="0.25">
      <c r="B447" s="29">
        <f>IF(442&lt;='계산기'!$C$7,442,"")</f>
      </c>
      <c r="C447" s="30">
        <f>IF(B447="","",G446)</f>
      </c>
      <c r="D447" s="30">
        <f>IF(B447="","",C447*'계산기'!$C$12)</f>
      </c>
      <c r="E447" s="30">
        <f>IF(B447="","",IF(B447='계산기'!$C$7,C447,IF('계산기'!$C$8="원리금균등",IF('계산기'!$C$12=0,'계산기'!$C$5/'계산기'!$C$7,PMT('계산기'!$C$12,'계산기'!$C$7,-'계산기'!$C$5))-D447,IF('계산기'!$C$8="원금균등",'계산기'!$C$5/'계산기'!$C$7,0))))</f>
      </c>
      <c r="F447" s="30">
        <f>IF(B447="","",D447+E447)</f>
      </c>
      <c r="G447" s="30">
        <f>IF(B447="","",C447-E447)</f>
      </c>
    </row>
    <row r="448" spans="2:7" x14ac:dyDescent="0.25">
      <c r="B448" s="29">
        <f>IF(443&lt;='계산기'!$C$7,443,"")</f>
      </c>
      <c r="C448" s="30">
        <f>IF(B448="","",G447)</f>
      </c>
      <c r="D448" s="30">
        <f>IF(B448="","",C448*'계산기'!$C$12)</f>
      </c>
      <c r="E448" s="30">
        <f>IF(B448="","",IF(B448='계산기'!$C$7,C448,IF('계산기'!$C$8="원리금균등",IF('계산기'!$C$12=0,'계산기'!$C$5/'계산기'!$C$7,PMT('계산기'!$C$12,'계산기'!$C$7,-'계산기'!$C$5))-D448,IF('계산기'!$C$8="원금균등",'계산기'!$C$5/'계산기'!$C$7,0))))</f>
      </c>
      <c r="F448" s="30">
        <f>IF(B448="","",D448+E448)</f>
      </c>
      <c r="G448" s="30">
        <f>IF(B448="","",C448-E448)</f>
      </c>
    </row>
    <row r="449" spans="2:7" x14ac:dyDescent="0.25">
      <c r="B449" s="29">
        <f>IF(444&lt;='계산기'!$C$7,444,"")</f>
      </c>
      <c r="C449" s="30">
        <f>IF(B449="","",G448)</f>
      </c>
      <c r="D449" s="30">
        <f>IF(B449="","",C449*'계산기'!$C$12)</f>
      </c>
      <c r="E449" s="30">
        <f>IF(B449="","",IF(B449='계산기'!$C$7,C449,IF('계산기'!$C$8="원리금균등",IF('계산기'!$C$12=0,'계산기'!$C$5/'계산기'!$C$7,PMT('계산기'!$C$12,'계산기'!$C$7,-'계산기'!$C$5))-D449,IF('계산기'!$C$8="원금균등",'계산기'!$C$5/'계산기'!$C$7,0))))</f>
      </c>
      <c r="F449" s="30">
        <f>IF(B449="","",D449+E449)</f>
      </c>
      <c r="G449" s="30">
        <f>IF(B449="","",C449-E449)</f>
      </c>
    </row>
    <row r="450" spans="2:7" x14ac:dyDescent="0.25">
      <c r="B450" s="29">
        <f>IF(445&lt;='계산기'!$C$7,445,"")</f>
      </c>
      <c r="C450" s="30">
        <f>IF(B450="","",G449)</f>
      </c>
      <c r="D450" s="30">
        <f>IF(B450="","",C450*'계산기'!$C$12)</f>
      </c>
      <c r="E450" s="30">
        <f>IF(B450="","",IF(B450='계산기'!$C$7,C450,IF('계산기'!$C$8="원리금균등",IF('계산기'!$C$12=0,'계산기'!$C$5/'계산기'!$C$7,PMT('계산기'!$C$12,'계산기'!$C$7,-'계산기'!$C$5))-D450,IF('계산기'!$C$8="원금균등",'계산기'!$C$5/'계산기'!$C$7,0))))</f>
      </c>
      <c r="F450" s="30">
        <f>IF(B450="","",D450+E450)</f>
      </c>
      <c r="G450" s="30">
        <f>IF(B450="","",C450-E450)</f>
      </c>
    </row>
    <row r="451" spans="2:7" x14ac:dyDescent="0.25">
      <c r="B451" s="29">
        <f>IF(446&lt;='계산기'!$C$7,446,"")</f>
      </c>
      <c r="C451" s="30">
        <f>IF(B451="","",G450)</f>
      </c>
      <c r="D451" s="30">
        <f>IF(B451="","",C451*'계산기'!$C$12)</f>
      </c>
      <c r="E451" s="30">
        <f>IF(B451="","",IF(B451='계산기'!$C$7,C451,IF('계산기'!$C$8="원리금균등",IF('계산기'!$C$12=0,'계산기'!$C$5/'계산기'!$C$7,PMT('계산기'!$C$12,'계산기'!$C$7,-'계산기'!$C$5))-D451,IF('계산기'!$C$8="원금균등",'계산기'!$C$5/'계산기'!$C$7,0))))</f>
      </c>
      <c r="F451" s="30">
        <f>IF(B451="","",D451+E451)</f>
      </c>
      <c r="G451" s="30">
        <f>IF(B451="","",C451-E451)</f>
      </c>
    </row>
    <row r="452" spans="2:7" x14ac:dyDescent="0.25">
      <c r="B452" s="29">
        <f>IF(447&lt;='계산기'!$C$7,447,"")</f>
      </c>
      <c r="C452" s="30">
        <f>IF(B452="","",G451)</f>
      </c>
      <c r="D452" s="30">
        <f>IF(B452="","",C452*'계산기'!$C$12)</f>
      </c>
      <c r="E452" s="30">
        <f>IF(B452="","",IF(B452='계산기'!$C$7,C452,IF('계산기'!$C$8="원리금균등",IF('계산기'!$C$12=0,'계산기'!$C$5/'계산기'!$C$7,PMT('계산기'!$C$12,'계산기'!$C$7,-'계산기'!$C$5))-D452,IF('계산기'!$C$8="원금균등",'계산기'!$C$5/'계산기'!$C$7,0))))</f>
      </c>
      <c r="F452" s="30">
        <f>IF(B452="","",D452+E452)</f>
      </c>
      <c r="G452" s="30">
        <f>IF(B452="","",C452-E452)</f>
      </c>
    </row>
    <row r="453" spans="2:7" x14ac:dyDescent="0.25">
      <c r="B453" s="29">
        <f>IF(448&lt;='계산기'!$C$7,448,"")</f>
      </c>
      <c r="C453" s="30">
        <f>IF(B453="","",G452)</f>
      </c>
      <c r="D453" s="30">
        <f>IF(B453="","",C453*'계산기'!$C$12)</f>
      </c>
      <c r="E453" s="30">
        <f>IF(B453="","",IF(B453='계산기'!$C$7,C453,IF('계산기'!$C$8="원리금균등",IF('계산기'!$C$12=0,'계산기'!$C$5/'계산기'!$C$7,PMT('계산기'!$C$12,'계산기'!$C$7,-'계산기'!$C$5))-D453,IF('계산기'!$C$8="원금균등",'계산기'!$C$5/'계산기'!$C$7,0))))</f>
      </c>
      <c r="F453" s="30">
        <f>IF(B453="","",D453+E453)</f>
      </c>
      <c r="G453" s="30">
        <f>IF(B453="","",C453-E453)</f>
      </c>
    </row>
    <row r="454" spans="2:7" x14ac:dyDescent="0.25">
      <c r="B454" s="29">
        <f>IF(449&lt;='계산기'!$C$7,449,"")</f>
      </c>
      <c r="C454" s="30">
        <f>IF(B454="","",G453)</f>
      </c>
      <c r="D454" s="30">
        <f>IF(B454="","",C454*'계산기'!$C$12)</f>
      </c>
      <c r="E454" s="30">
        <f>IF(B454="","",IF(B454='계산기'!$C$7,C454,IF('계산기'!$C$8="원리금균등",IF('계산기'!$C$12=0,'계산기'!$C$5/'계산기'!$C$7,PMT('계산기'!$C$12,'계산기'!$C$7,-'계산기'!$C$5))-D454,IF('계산기'!$C$8="원금균등",'계산기'!$C$5/'계산기'!$C$7,0))))</f>
      </c>
      <c r="F454" s="30">
        <f>IF(B454="","",D454+E454)</f>
      </c>
      <c r="G454" s="30">
        <f>IF(B454="","",C454-E454)</f>
      </c>
    </row>
    <row r="455" spans="2:7" x14ac:dyDescent="0.25">
      <c r="B455" s="29">
        <f>IF(450&lt;='계산기'!$C$7,450,"")</f>
      </c>
      <c r="C455" s="30">
        <f>IF(B455="","",G454)</f>
      </c>
      <c r="D455" s="30">
        <f>IF(B455="","",C455*'계산기'!$C$12)</f>
      </c>
      <c r="E455" s="30">
        <f>IF(B455="","",IF(B455='계산기'!$C$7,C455,IF('계산기'!$C$8="원리금균등",IF('계산기'!$C$12=0,'계산기'!$C$5/'계산기'!$C$7,PMT('계산기'!$C$12,'계산기'!$C$7,-'계산기'!$C$5))-D455,IF('계산기'!$C$8="원금균등",'계산기'!$C$5/'계산기'!$C$7,0))))</f>
      </c>
      <c r="F455" s="30">
        <f>IF(B455="","",D455+E455)</f>
      </c>
      <c r="G455" s="30">
        <f>IF(B455="","",C455-E455)</f>
      </c>
    </row>
    <row r="456" spans="2:7" x14ac:dyDescent="0.25">
      <c r="B456" s="29">
        <f>IF(451&lt;='계산기'!$C$7,451,"")</f>
      </c>
      <c r="C456" s="30">
        <f>IF(B456="","",G455)</f>
      </c>
      <c r="D456" s="30">
        <f>IF(B456="","",C456*'계산기'!$C$12)</f>
      </c>
      <c r="E456" s="30">
        <f>IF(B456="","",IF(B456='계산기'!$C$7,C456,IF('계산기'!$C$8="원리금균등",IF('계산기'!$C$12=0,'계산기'!$C$5/'계산기'!$C$7,PMT('계산기'!$C$12,'계산기'!$C$7,-'계산기'!$C$5))-D456,IF('계산기'!$C$8="원금균등",'계산기'!$C$5/'계산기'!$C$7,0))))</f>
      </c>
      <c r="F456" s="30">
        <f>IF(B456="","",D456+E456)</f>
      </c>
      <c r="G456" s="30">
        <f>IF(B456="","",C456-E456)</f>
      </c>
    </row>
    <row r="457" spans="2:7" x14ac:dyDescent="0.25">
      <c r="B457" s="29">
        <f>IF(452&lt;='계산기'!$C$7,452,"")</f>
      </c>
      <c r="C457" s="30">
        <f>IF(B457="","",G456)</f>
      </c>
      <c r="D457" s="30">
        <f>IF(B457="","",C457*'계산기'!$C$12)</f>
      </c>
      <c r="E457" s="30">
        <f>IF(B457="","",IF(B457='계산기'!$C$7,C457,IF('계산기'!$C$8="원리금균등",IF('계산기'!$C$12=0,'계산기'!$C$5/'계산기'!$C$7,PMT('계산기'!$C$12,'계산기'!$C$7,-'계산기'!$C$5))-D457,IF('계산기'!$C$8="원금균등",'계산기'!$C$5/'계산기'!$C$7,0))))</f>
      </c>
      <c r="F457" s="30">
        <f>IF(B457="","",D457+E457)</f>
      </c>
      <c r="G457" s="30">
        <f>IF(B457="","",C457-E457)</f>
      </c>
    </row>
    <row r="458" spans="2:7" x14ac:dyDescent="0.25">
      <c r="B458" s="29">
        <f>IF(453&lt;='계산기'!$C$7,453,"")</f>
      </c>
      <c r="C458" s="30">
        <f>IF(B458="","",G457)</f>
      </c>
      <c r="D458" s="30">
        <f>IF(B458="","",C458*'계산기'!$C$12)</f>
      </c>
      <c r="E458" s="30">
        <f>IF(B458="","",IF(B458='계산기'!$C$7,C458,IF('계산기'!$C$8="원리금균등",IF('계산기'!$C$12=0,'계산기'!$C$5/'계산기'!$C$7,PMT('계산기'!$C$12,'계산기'!$C$7,-'계산기'!$C$5))-D458,IF('계산기'!$C$8="원금균등",'계산기'!$C$5/'계산기'!$C$7,0))))</f>
      </c>
      <c r="F458" s="30">
        <f>IF(B458="","",D458+E458)</f>
      </c>
      <c r="G458" s="30">
        <f>IF(B458="","",C458-E458)</f>
      </c>
    </row>
    <row r="459" spans="2:7" x14ac:dyDescent="0.25">
      <c r="B459" s="29">
        <f>IF(454&lt;='계산기'!$C$7,454,"")</f>
      </c>
      <c r="C459" s="30">
        <f>IF(B459="","",G458)</f>
      </c>
      <c r="D459" s="30">
        <f>IF(B459="","",C459*'계산기'!$C$12)</f>
      </c>
      <c r="E459" s="30">
        <f>IF(B459="","",IF(B459='계산기'!$C$7,C459,IF('계산기'!$C$8="원리금균등",IF('계산기'!$C$12=0,'계산기'!$C$5/'계산기'!$C$7,PMT('계산기'!$C$12,'계산기'!$C$7,-'계산기'!$C$5))-D459,IF('계산기'!$C$8="원금균등",'계산기'!$C$5/'계산기'!$C$7,0))))</f>
      </c>
      <c r="F459" s="30">
        <f>IF(B459="","",D459+E459)</f>
      </c>
      <c r="G459" s="30">
        <f>IF(B459="","",C459-E459)</f>
      </c>
    </row>
    <row r="460" spans="2:7" x14ac:dyDescent="0.25">
      <c r="B460" s="29">
        <f>IF(455&lt;='계산기'!$C$7,455,"")</f>
      </c>
      <c r="C460" s="30">
        <f>IF(B460="","",G459)</f>
      </c>
      <c r="D460" s="30">
        <f>IF(B460="","",C460*'계산기'!$C$12)</f>
      </c>
      <c r="E460" s="30">
        <f>IF(B460="","",IF(B460='계산기'!$C$7,C460,IF('계산기'!$C$8="원리금균등",IF('계산기'!$C$12=0,'계산기'!$C$5/'계산기'!$C$7,PMT('계산기'!$C$12,'계산기'!$C$7,-'계산기'!$C$5))-D460,IF('계산기'!$C$8="원금균등",'계산기'!$C$5/'계산기'!$C$7,0))))</f>
      </c>
      <c r="F460" s="30">
        <f>IF(B460="","",D460+E460)</f>
      </c>
      <c r="G460" s="30">
        <f>IF(B460="","",C460-E460)</f>
      </c>
    </row>
    <row r="461" spans="2:7" x14ac:dyDescent="0.25">
      <c r="B461" s="29">
        <f>IF(456&lt;='계산기'!$C$7,456,"")</f>
      </c>
      <c r="C461" s="30">
        <f>IF(B461="","",G460)</f>
      </c>
      <c r="D461" s="30">
        <f>IF(B461="","",C461*'계산기'!$C$12)</f>
      </c>
      <c r="E461" s="30">
        <f>IF(B461="","",IF(B461='계산기'!$C$7,C461,IF('계산기'!$C$8="원리금균등",IF('계산기'!$C$12=0,'계산기'!$C$5/'계산기'!$C$7,PMT('계산기'!$C$12,'계산기'!$C$7,-'계산기'!$C$5))-D461,IF('계산기'!$C$8="원금균등",'계산기'!$C$5/'계산기'!$C$7,0))))</f>
      </c>
      <c r="F461" s="30">
        <f>IF(B461="","",D461+E461)</f>
      </c>
      <c r="G461" s="30">
        <f>IF(B461="","",C461-E461)</f>
      </c>
    </row>
    <row r="462" spans="2:7" x14ac:dyDescent="0.25">
      <c r="B462" s="29">
        <f>IF(457&lt;='계산기'!$C$7,457,"")</f>
      </c>
      <c r="C462" s="30">
        <f>IF(B462="","",G461)</f>
      </c>
      <c r="D462" s="30">
        <f>IF(B462="","",C462*'계산기'!$C$12)</f>
      </c>
      <c r="E462" s="30">
        <f>IF(B462="","",IF(B462='계산기'!$C$7,C462,IF('계산기'!$C$8="원리금균등",IF('계산기'!$C$12=0,'계산기'!$C$5/'계산기'!$C$7,PMT('계산기'!$C$12,'계산기'!$C$7,-'계산기'!$C$5))-D462,IF('계산기'!$C$8="원금균등",'계산기'!$C$5/'계산기'!$C$7,0))))</f>
      </c>
      <c r="F462" s="30">
        <f>IF(B462="","",D462+E462)</f>
      </c>
      <c r="G462" s="30">
        <f>IF(B462="","",C462-E462)</f>
      </c>
    </row>
    <row r="463" spans="2:7" x14ac:dyDescent="0.25">
      <c r="B463" s="29">
        <f>IF(458&lt;='계산기'!$C$7,458,"")</f>
      </c>
      <c r="C463" s="30">
        <f>IF(B463="","",G462)</f>
      </c>
      <c r="D463" s="30">
        <f>IF(B463="","",C463*'계산기'!$C$12)</f>
      </c>
      <c r="E463" s="30">
        <f>IF(B463="","",IF(B463='계산기'!$C$7,C463,IF('계산기'!$C$8="원리금균등",IF('계산기'!$C$12=0,'계산기'!$C$5/'계산기'!$C$7,PMT('계산기'!$C$12,'계산기'!$C$7,-'계산기'!$C$5))-D463,IF('계산기'!$C$8="원금균등",'계산기'!$C$5/'계산기'!$C$7,0))))</f>
      </c>
      <c r="F463" s="30">
        <f>IF(B463="","",D463+E463)</f>
      </c>
      <c r="G463" s="30">
        <f>IF(B463="","",C463-E463)</f>
      </c>
    </row>
    <row r="464" spans="2:7" x14ac:dyDescent="0.25">
      <c r="B464" s="29">
        <f>IF(459&lt;='계산기'!$C$7,459,"")</f>
      </c>
      <c r="C464" s="30">
        <f>IF(B464="","",G463)</f>
      </c>
      <c r="D464" s="30">
        <f>IF(B464="","",C464*'계산기'!$C$12)</f>
      </c>
      <c r="E464" s="30">
        <f>IF(B464="","",IF(B464='계산기'!$C$7,C464,IF('계산기'!$C$8="원리금균등",IF('계산기'!$C$12=0,'계산기'!$C$5/'계산기'!$C$7,PMT('계산기'!$C$12,'계산기'!$C$7,-'계산기'!$C$5))-D464,IF('계산기'!$C$8="원금균등",'계산기'!$C$5/'계산기'!$C$7,0))))</f>
      </c>
      <c r="F464" s="30">
        <f>IF(B464="","",D464+E464)</f>
      </c>
      <c r="G464" s="30">
        <f>IF(B464="","",C464-E464)</f>
      </c>
    </row>
    <row r="465" spans="2:7" x14ac:dyDescent="0.25">
      <c r="B465" s="29">
        <f>IF(460&lt;='계산기'!$C$7,460,"")</f>
      </c>
      <c r="C465" s="30">
        <f>IF(B465="","",G464)</f>
      </c>
      <c r="D465" s="30">
        <f>IF(B465="","",C465*'계산기'!$C$12)</f>
      </c>
      <c r="E465" s="30">
        <f>IF(B465="","",IF(B465='계산기'!$C$7,C465,IF('계산기'!$C$8="원리금균등",IF('계산기'!$C$12=0,'계산기'!$C$5/'계산기'!$C$7,PMT('계산기'!$C$12,'계산기'!$C$7,-'계산기'!$C$5))-D465,IF('계산기'!$C$8="원금균등",'계산기'!$C$5/'계산기'!$C$7,0))))</f>
      </c>
      <c r="F465" s="30">
        <f>IF(B465="","",D465+E465)</f>
      </c>
      <c r="G465" s="30">
        <f>IF(B465="","",C465-E465)</f>
      </c>
    </row>
    <row r="466" spans="2:7" x14ac:dyDescent="0.25">
      <c r="B466" s="29">
        <f>IF(461&lt;='계산기'!$C$7,461,"")</f>
      </c>
      <c r="C466" s="30">
        <f>IF(B466="","",G465)</f>
      </c>
      <c r="D466" s="30">
        <f>IF(B466="","",C466*'계산기'!$C$12)</f>
      </c>
      <c r="E466" s="30">
        <f>IF(B466="","",IF(B466='계산기'!$C$7,C466,IF('계산기'!$C$8="원리금균등",IF('계산기'!$C$12=0,'계산기'!$C$5/'계산기'!$C$7,PMT('계산기'!$C$12,'계산기'!$C$7,-'계산기'!$C$5))-D466,IF('계산기'!$C$8="원금균등",'계산기'!$C$5/'계산기'!$C$7,0))))</f>
      </c>
      <c r="F466" s="30">
        <f>IF(B466="","",D466+E466)</f>
      </c>
      <c r="G466" s="30">
        <f>IF(B466="","",C466-E466)</f>
      </c>
    </row>
    <row r="467" spans="2:7" x14ac:dyDescent="0.25">
      <c r="B467" s="29">
        <f>IF(462&lt;='계산기'!$C$7,462,"")</f>
      </c>
      <c r="C467" s="30">
        <f>IF(B467="","",G466)</f>
      </c>
      <c r="D467" s="30">
        <f>IF(B467="","",C467*'계산기'!$C$12)</f>
      </c>
      <c r="E467" s="30">
        <f>IF(B467="","",IF(B467='계산기'!$C$7,C467,IF('계산기'!$C$8="원리금균등",IF('계산기'!$C$12=0,'계산기'!$C$5/'계산기'!$C$7,PMT('계산기'!$C$12,'계산기'!$C$7,-'계산기'!$C$5))-D467,IF('계산기'!$C$8="원금균등",'계산기'!$C$5/'계산기'!$C$7,0))))</f>
      </c>
      <c r="F467" s="30">
        <f>IF(B467="","",D467+E467)</f>
      </c>
      <c r="G467" s="30">
        <f>IF(B467="","",C467-E467)</f>
      </c>
    </row>
    <row r="468" spans="2:7" x14ac:dyDescent="0.25">
      <c r="B468" s="29">
        <f>IF(463&lt;='계산기'!$C$7,463,"")</f>
      </c>
      <c r="C468" s="30">
        <f>IF(B468="","",G467)</f>
      </c>
      <c r="D468" s="30">
        <f>IF(B468="","",C468*'계산기'!$C$12)</f>
      </c>
      <c r="E468" s="30">
        <f>IF(B468="","",IF(B468='계산기'!$C$7,C468,IF('계산기'!$C$8="원리금균등",IF('계산기'!$C$12=0,'계산기'!$C$5/'계산기'!$C$7,PMT('계산기'!$C$12,'계산기'!$C$7,-'계산기'!$C$5))-D468,IF('계산기'!$C$8="원금균등",'계산기'!$C$5/'계산기'!$C$7,0))))</f>
      </c>
      <c r="F468" s="30">
        <f>IF(B468="","",D468+E468)</f>
      </c>
      <c r="G468" s="30">
        <f>IF(B468="","",C468-E468)</f>
      </c>
    </row>
    <row r="469" spans="2:7" x14ac:dyDescent="0.25">
      <c r="B469" s="29">
        <f>IF(464&lt;='계산기'!$C$7,464,"")</f>
      </c>
      <c r="C469" s="30">
        <f>IF(B469="","",G468)</f>
      </c>
      <c r="D469" s="30">
        <f>IF(B469="","",C469*'계산기'!$C$12)</f>
      </c>
      <c r="E469" s="30">
        <f>IF(B469="","",IF(B469='계산기'!$C$7,C469,IF('계산기'!$C$8="원리금균등",IF('계산기'!$C$12=0,'계산기'!$C$5/'계산기'!$C$7,PMT('계산기'!$C$12,'계산기'!$C$7,-'계산기'!$C$5))-D469,IF('계산기'!$C$8="원금균등",'계산기'!$C$5/'계산기'!$C$7,0))))</f>
      </c>
      <c r="F469" s="30">
        <f>IF(B469="","",D469+E469)</f>
      </c>
      <c r="G469" s="30">
        <f>IF(B469="","",C469-E469)</f>
      </c>
    </row>
    <row r="470" spans="2:7" x14ac:dyDescent="0.25">
      <c r="B470" s="29">
        <f>IF(465&lt;='계산기'!$C$7,465,"")</f>
      </c>
      <c r="C470" s="30">
        <f>IF(B470="","",G469)</f>
      </c>
      <c r="D470" s="30">
        <f>IF(B470="","",C470*'계산기'!$C$12)</f>
      </c>
      <c r="E470" s="30">
        <f>IF(B470="","",IF(B470='계산기'!$C$7,C470,IF('계산기'!$C$8="원리금균등",IF('계산기'!$C$12=0,'계산기'!$C$5/'계산기'!$C$7,PMT('계산기'!$C$12,'계산기'!$C$7,-'계산기'!$C$5))-D470,IF('계산기'!$C$8="원금균등",'계산기'!$C$5/'계산기'!$C$7,0))))</f>
      </c>
      <c r="F470" s="30">
        <f>IF(B470="","",D470+E470)</f>
      </c>
      <c r="G470" s="30">
        <f>IF(B470="","",C470-E470)</f>
      </c>
    </row>
    <row r="471" spans="2:7" x14ac:dyDescent="0.25">
      <c r="B471" s="29">
        <f>IF(466&lt;='계산기'!$C$7,466,"")</f>
      </c>
      <c r="C471" s="30">
        <f>IF(B471="","",G470)</f>
      </c>
      <c r="D471" s="30">
        <f>IF(B471="","",C471*'계산기'!$C$12)</f>
      </c>
      <c r="E471" s="30">
        <f>IF(B471="","",IF(B471='계산기'!$C$7,C471,IF('계산기'!$C$8="원리금균등",IF('계산기'!$C$12=0,'계산기'!$C$5/'계산기'!$C$7,PMT('계산기'!$C$12,'계산기'!$C$7,-'계산기'!$C$5))-D471,IF('계산기'!$C$8="원금균등",'계산기'!$C$5/'계산기'!$C$7,0))))</f>
      </c>
      <c r="F471" s="30">
        <f>IF(B471="","",D471+E471)</f>
      </c>
      <c r="G471" s="30">
        <f>IF(B471="","",C471-E471)</f>
      </c>
    </row>
    <row r="472" spans="2:7" x14ac:dyDescent="0.25">
      <c r="B472" s="29">
        <f>IF(467&lt;='계산기'!$C$7,467,"")</f>
      </c>
      <c r="C472" s="30">
        <f>IF(B472="","",G471)</f>
      </c>
      <c r="D472" s="30">
        <f>IF(B472="","",C472*'계산기'!$C$12)</f>
      </c>
      <c r="E472" s="30">
        <f>IF(B472="","",IF(B472='계산기'!$C$7,C472,IF('계산기'!$C$8="원리금균등",IF('계산기'!$C$12=0,'계산기'!$C$5/'계산기'!$C$7,PMT('계산기'!$C$12,'계산기'!$C$7,-'계산기'!$C$5))-D472,IF('계산기'!$C$8="원금균등",'계산기'!$C$5/'계산기'!$C$7,0))))</f>
      </c>
      <c r="F472" s="30">
        <f>IF(B472="","",D472+E472)</f>
      </c>
      <c r="G472" s="30">
        <f>IF(B472="","",C472-E472)</f>
      </c>
    </row>
    <row r="473" spans="2:7" x14ac:dyDescent="0.25">
      <c r="B473" s="29">
        <f>IF(468&lt;='계산기'!$C$7,468,"")</f>
      </c>
      <c r="C473" s="30">
        <f>IF(B473="","",G472)</f>
      </c>
      <c r="D473" s="30">
        <f>IF(B473="","",C473*'계산기'!$C$12)</f>
      </c>
      <c r="E473" s="30">
        <f>IF(B473="","",IF(B473='계산기'!$C$7,C473,IF('계산기'!$C$8="원리금균등",IF('계산기'!$C$12=0,'계산기'!$C$5/'계산기'!$C$7,PMT('계산기'!$C$12,'계산기'!$C$7,-'계산기'!$C$5))-D473,IF('계산기'!$C$8="원금균등",'계산기'!$C$5/'계산기'!$C$7,0))))</f>
      </c>
      <c r="F473" s="30">
        <f>IF(B473="","",D473+E473)</f>
      </c>
      <c r="G473" s="30">
        <f>IF(B473="","",C473-E473)</f>
      </c>
    </row>
    <row r="474" spans="2:7" x14ac:dyDescent="0.25">
      <c r="B474" s="29">
        <f>IF(469&lt;='계산기'!$C$7,469,"")</f>
      </c>
      <c r="C474" s="30">
        <f>IF(B474="","",G473)</f>
      </c>
      <c r="D474" s="30">
        <f>IF(B474="","",C474*'계산기'!$C$12)</f>
      </c>
      <c r="E474" s="30">
        <f>IF(B474="","",IF(B474='계산기'!$C$7,C474,IF('계산기'!$C$8="원리금균등",IF('계산기'!$C$12=0,'계산기'!$C$5/'계산기'!$C$7,PMT('계산기'!$C$12,'계산기'!$C$7,-'계산기'!$C$5))-D474,IF('계산기'!$C$8="원금균등",'계산기'!$C$5/'계산기'!$C$7,0))))</f>
      </c>
      <c r="F474" s="30">
        <f>IF(B474="","",D474+E474)</f>
      </c>
      <c r="G474" s="30">
        <f>IF(B474="","",C474-E474)</f>
      </c>
    </row>
    <row r="475" spans="2:7" x14ac:dyDescent="0.25">
      <c r="B475" s="29">
        <f>IF(470&lt;='계산기'!$C$7,470,"")</f>
      </c>
      <c r="C475" s="30">
        <f>IF(B475="","",G474)</f>
      </c>
      <c r="D475" s="30">
        <f>IF(B475="","",C475*'계산기'!$C$12)</f>
      </c>
      <c r="E475" s="30">
        <f>IF(B475="","",IF(B475='계산기'!$C$7,C475,IF('계산기'!$C$8="원리금균등",IF('계산기'!$C$12=0,'계산기'!$C$5/'계산기'!$C$7,PMT('계산기'!$C$12,'계산기'!$C$7,-'계산기'!$C$5))-D475,IF('계산기'!$C$8="원금균등",'계산기'!$C$5/'계산기'!$C$7,0))))</f>
      </c>
      <c r="F475" s="30">
        <f>IF(B475="","",D475+E475)</f>
      </c>
      <c r="G475" s="30">
        <f>IF(B475="","",C475-E475)</f>
      </c>
    </row>
    <row r="476" spans="2:7" x14ac:dyDescent="0.25">
      <c r="B476" s="29">
        <f>IF(471&lt;='계산기'!$C$7,471,"")</f>
      </c>
      <c r="C476" s="30">
        <f>IF(B476="","",G475)</f>
      </c>
      <c r="D476" s="30">
        <f>IF(B476="","",C476*'계산기'!$C$12)</f>
      </c>
      <c r="E476" s="30">
        <f>IF(B476="","",IF(B476='계산기'!$C$7,C476,IF('계산기'!$C$8="원리금균등",IF('계산기'!$C$12=0,'계산기'!$C$5/'계산기'!$C$7,PMT('계산기'!$C$12,'계산기'!$C$7,-'계산기'!$C$5))-D476,IF('계산기'!$C$8="원금균등",'계산기'!$C$5/'계산기'!$C$7,0))))</f>
      </c>
      <c r="F476" s="30">
        <f>IF(B476="","",D476+E476)</f>
      </c>
      <c r="G476" s="30">
        <f>IF(B476="","",C476-E476)</f>
      </c>
    </row>
    <row r="477" spans="2:7" x14ac:dyDescent="0.25">
      <c r="B477" s="29">
        <f>IF(472&lt;='계산기'!$C$7,472,"")</f>
      </c>
      <c r="C477" s="30">
        <f>IF(B477="","",G476)</f>
      </c>
      <c r="D477" s="30">
        <f>IF(B477="","",C477*'계산기'!$C$12)</f>
      </c>
      <c r="E477" s="30">
        <f>IF(B477="","",IF(B477='계산기'!$C$7,C477,IF('계산기'!$C$8="원리금균등",IF('계산기'!$C$12=0,'계산기'!$C$5/'계산기'!$C$7,PMT('계산기'!$C$12,'계산기'!$C$7,-'계산기'!$C$5))-D477,IF('계산기'!$C$8="원금균등",'계산기'!$C$5/'계산기'!$C$7,0))))</f>
      </c>
      <c r="F477" s="30">
        <f>IF(B477="","",D477+E477)</f>
      </c>
      <c r="G477" s="30">
        <f>IF(B477="","",C477-E477)</f>
      </c>
    </row>
    <row r="478" spans="2:7" x14ac:dyDescent="0.25">
      <c r="B478" s="29">
        <f>IF(473&lt;='계산기'!$C$7,473,"")</f>
      </c>
      <c r="C478" s="30">
        <f>IF(B478="","",G477)</f>
      </c>
      <c r="D478" s="30">
        <f>IF(B478="","",C478*'계산기'!$C$12)</f>
      </c>
      <c r="E478" s="30">
        <f>IF(B478="","",IF(B478='계산기'!$C$7,C478,IF('계산기'!$C$8="원리금균등",IF('계산기'!$C$12=0,'계산기'!$C$5/'계산기'!$C$7,PMT('계산기'!$C$12,'계산기'!$C$7,-'계산기'!$C$5))-D478,IF('계산기'!$C$8="원금균등",'계산기'!$C$5/'계산기'!$C$7,0))))</f>
      </c>
      <c r="F478" s="30">
        <f>IF(B478="","",D478+E478)</f>
      </c>
      <c r="G478" s="30">
        <f>IF(B478="","",C478-E478)</f>
      </c>
    </row>
    <row r="479" spans="2:7" x14ac:dyDescent="0.25">
      <c r="B479" s="29">
        <f>IF(474&lt;='계산기'!$C$7,474,"")</f>
      </c>
      <c r="C479" s="30">
        <f>IF(B479="","",G478)</f>
      </c>
      <c r="D479" s="30">
        <f>IF(B479="","",C479*'계산기'!$C$12)</f>
      </c>
      <c r="E479" s="30">
        <f>IF(B479="","",IF(B479='계산기'!$C$7,C479,IF('계산기'!$C$8="원리금균등",IF('계산기'!$C$12=0,'계산기'!$C$5/'계산기'!$C$7,PMT('계산기'!$C$12,'계산기'!$C$7,-'계산기'!$C$5))-D479,IF('계산기'!$C$8="원금균등",'계산기'!$C$5/'계산기'!$C$7,0))))</f>
      </c>
      <c r="F479" s="30">
        <f>IF(B479="","",D479+E479)</f>
      </c>
      <c r="G479" s="30">
        <f>IF(B479="","",C479-E479)</f>
      </c>
    </row>
    <row r="480" spans="2:7" x14ac:dyDescent="0.25">
      <c r="B480" s="29">
        <f>IF(475&lt;='계산기'!$C$7,475,"")</f>
      </c>
      <c r="C480" s="30">
        <f>IF(B480="","",G479)</f>
      </c>
      <c r="D480" s="30">
        <f>IF(B480="","",C480*'계산기'!$C$12)</f>
      </c>
      <c r="E480" s="30">
        <f>IF(B480="","",IF(B480='계산기'!$C$7,C480,IF('계산기'!$C$8="원리금균등",IF('계산기'!$C$12=0,'계산기'!$C$5/'계산기'!$C$7,PMT('계산기'!$C$12,'계산기'!$C$7,-'계산기'!$C$5))-D480,IF('계산기'!$C$8="원금균등",'계산기'!$C$5/'계산기'!$C$7,0))))</f>
      </c>
      <c r="F480" s="30">
        <f>IF(B480="","",D480+E480)</f>
      </c>
      <c r="G480" s="30">
        <f>IF(B480="","",C480-E480)</f>
      </c>
    </row>
    <row r="481" spans="2:7" x14ac:dyDescent="0.25">
      <c r="B481" s="29">
        <f>IF(476&lt;='계산기'!$C$7,476,"")</f>
      </c>
      <c r="C481" s="30">
        <f>IF(B481="","",G480)</f>
      </c>
      <c r="D481" s="30">
        <f>IF(B481="","",C481*'계산기'!$C$12)</f>
      </c>
      <c r="E481" s="30">
        <f>IF(B481="","",IF(B481='계산기'!$C$7,C481,IF('계산기'!$C$8="원리금균등",IF('계산기'!$C$12=0,'계산기'!$C$5/'계산기'!$C$7,PMT('계산기'!$C$12,'계산기'!$C$7,-'계산기'!$C$5))-D481,IF('계산기'!$C$8="원금균등",'계산기'!$C$5/'계산기'!$C$7,0))))</f>
      </c>
      <c r="F481" s="30">
        <f>IF(B481="","",D481+E481)</f>
      </c>
      <c r="G481" s="30">
        <f>IF(B481="","",C481-E481)</f>
      </c>
    </row>
    <row r="482" spans="2:7" x14ac:dyDescent="0.25">
      <c r="B482" s="29">
        <f>IF(477&lt;='계산기'!$C$7,477,"")</f>
      </c>
      <c r="C482" s="30">
        <f>IF(B482="","",G481)</f>
      </c>
      <c r="D482" s="30">
        <f>IF(B482="","",C482*'계산기'!$C$12)</f>
      </c>
      <c r="E482" s="30">
        <f>IF(B482="","",IF(B482='계산기'!$C$7,C482,IF('계산기'!$C$8="원리금균등",IF('계산기'!$C$12=0,'계산기'!$C$5/'계산기'!$C$7,PMT('계산기'!$C$12,'계산기'!$C$7,-'계산기'!$C$5))-D482,IF('계산기'!$C$8="원금균등",'계산기'!$C$5/'계산기'!$C$7,0))))</f>
      </c>
      <c r="F482" s="30">
        <f>IF(B482="","",D482+E482)</f>
      </c>
      <c r="G482" s="30">
        <f>IF(B482="","",C482-E482)</f>
      </c>
    </row>
    <row r="483" spans="2:7" x14ac:dyDescent="0.25">
      <c r="B483" s="29">
        <f>IF(478&lt;='계산기'!$C$7,478,"")</f>
      </c>
      <c r="C483" s="30">
        <f>IF(B483="","",G482)</f>
      </c>
      <c r="D483" s="30">
        <f>IF(B483="","",C483*'계산기'!$C$12)</f>
      </c>
      <c r="E483" s="30">
        <f>IF(B483="","",IF(B483='계산기'!$C$7,C483,IF('계산기'!$C$8="원리금균등",IF('계산기'!$C$12=0,'계산기'!$C$5/'계산기'!$C$7,PMT('계산기'!$C$12,'계산기'!$C$7,-'계산기'!$C$5))-D483,IF('계산기'!$C$8="원금균등",'계산기'!$C$5/'계산기'!$C$7,0))))</f>
      </c>
      <c r="F483" s="30">
        <f>IF(B483="","",D483+E483)</f>
      </c>
      <c r="G483" s="30">
        <f>IF(B483="","",C483-E483)</f>
      </c>
    </row>
    <row r="484" spans="2:7" x14ac:dyDescent="0.25">
      <c r="B484" s="29">
        <f>IF(479&lt;='계산기'!$C$7,479,"")</f>
      </c>
      <c r="C484" s="30">
        <f>IF(B484="","",G483)</f>
      </c>
      <c r="D484" s="30">
        <f>IF(B484="","",C484*'계산기'!$C$12)</f>
      </c>
      <c r="E484" s="30">
        <f>IF(B484="","",IF(B484='계산기'!$C$7,C484,IF('계산기'!$C$8="원리금균등",IF('계산기'!$C$12=0,'계산기'!$C$5/'계산기'!$C$7,PMT('계산기'!$C$12,'계산기'!$C$7,-'계산기'!$C$5))-D484,IF('계산기'!$C$8="원금균등",'계산기'!$C$5/'계산기'!$C$7,0))))</f>
      </c>
      <c r="F484" s="30">
        <f>IF(B484="","",D484+E484)</f>
      </c>
      <c r="G484" s="30">
        <f>IF(B484="","",C484-E484)</f>
      </c>
    </row>
    <row r="485" spans="2:7" x14ac:dyDescent="0.25">
      <c r="B485" s="29">
        <f>IF(480&lt;='계산기'!$C$7,480,"")</f>
      </c>
      <c r="C485" s="30">
        <f>IF(B485="","",G484)</f>
      </c>
      <c r="D485" s="30">
        <f>IF(B485="","",C485*'계산기'!$C$12)</f>
      </c>
      <c r="E485" s="30">
        <f>IF(B485="","",IF(B485='계산기'!$C$7,C485,IF('계산기'!$C$8="원리금균등",IF('계산기'!$C$12=0,'계산기'!$C$5/'계산기'!$C$7,PMT('계산기'!$C$12,'계산기'!$C$7,-'계산기'!$C$5))-D485,IF('계산기'!$C$8="원금균등",'계산기'!$C$5/'계산기'!$C$7,0))))</f>
      </c>
      <c r="F485" s="30">
        <f>IF(B485="","",D485+E485)</f>
      </c>
      <c r="G485" s="30">
        <f>IF(B485="","",C485-E485)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사용법</vt:lpstr>
      <vt:lpstr>계산기</vt:lpstr>
      <vt:lpstr>상환스케줄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에이팜의 이야기 보따리</dc:creator>
  <dc:title/>
  <dc:subject/>
  <dc:description/>
  <cp:keywords/>
  <cp:category/>
  <cp:lastModifiedBy>Unknown</cp:lastModifiedBy>
  <dcterms:created xsi:type="dcterms:W3CDTF">2026-10-20T20:27:55Z</dcterms:created>
  <dcterms:modified xsi:type="dcterms:W3CDTF">2026-10-20T20:27:55Z</dcterms:modified>
</cp:coreProperties>
</file>